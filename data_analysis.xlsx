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 1c - Calculation" sheetId="1" state="visible" r:id="rId1"/>
    <sheet xmlns:r="http://schemas.openxmlformats.org/officeDocument/2006/relationships" name="Question 1d - Calculation" sheetId="2" state="visible" r:id="rId2"/>
    <sheet xmlns:r="http://schemas.openxmlformats.org/officeDocument/2006/relationships" name="Question 3a - Analysis" sheetId="3" state="visible" r:id="rId3"/>
    <sheet xmlns:r="http://schemas.openxmlformats.org/officeDocument/2006/relationships" name="Question 1c - ARPU &amp; CPI" sheetId="4" state="visible" r:id="rId4"/>
    <sheet xmlns:r="http://schemas.openxmlformats.org/officeDocument/2006/relationships" name="Question 1d - ARPU &amp; CPI levels" sheetId="5" state="visible" r:id="rId5"/>
    <sheet xmlns:r="http://schemas.openxmlformats.org/officeDocument/2006/relationships" name="Question 3 - Data" sheetId="6" state="visible" r:id="rId6"/>
  </sheets>
  <definedNames>
    <definedName name="MY_FUNCTION1">LAMBDA((#REF!)/#REF!*(1.25)^n)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&quot;$&quot;#,##0"/>
    <numFmt numFmtId="165" formatCode="&quot;$&quot;#,##0.0"/>
    <numFmt numFmtId="166" formatCode="yyyy-mm-dd"/>
    <numFmt numFmtId="167" formatCode="$#,##0.00"/>
    <numFmt numFmtId="168" formatCode="$#,##0"/>
    <numFmt numFmtId="169" formatCode="0.0%"/>
    <numFmt numFmtId="170" formatCode="$#,##0;($#,##0);-"/>
    <numFmt numFmtId="171" formatCode="+0.0%;-0.0%;-"/>
    <numFmt numFmtId="172" formatCode="#,##0;(#,##0);-"/>
    <numFmt numFmtId="173" formatCode="0.000%"/>
    <numFmt numFmtId="174" formatCode="0.0000%"/>
    <numFmt numFmtId="175" formatCode="$#,##0.000"/>
    <numFmt numFmtId="176" formatCode="+0.0%;-0.0%"/>
  </numFmts>
  <fonts count="23">
    <font>
      <name val="Arial"/>
      <color rgb="FF000000"/>
      <sz val="10"/>
      <scheme val="minor"/>
    </font>
    <font>
      <name val="Arial"/>
      <b val="1"/>
      <color rgb="FFFFFFFF"/>
    </font>
    <font/>
    <font>
      <name val="Arial"/>
      <color theme="1"/>
    </font>
    <font>
      <name val="Arial"/>
      <color theme="1"/>
      <scheme val="minor"/>
    </font>
    <font>
      <name val="Arial"/>
      <color rgb="FFFFFFFF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sz val="9"/>
    </font>
    <font>
      <name val="Arial"/>
      <b val="1"/>
      <color rgb="000000FF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7F0000"/>
      <sz val="9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b val="1"/>
      <color rgb="00375623"/>
      <sz val="10"/>
    </font>
    <font>
      <name val="Arial"/>
      <i val="1"/>
      <color rgb="00444444"/>
      <sz val="9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1">
    <fill>
      <patternFill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1" fillId="2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164" fontId="3" fillId="0" borderId="4" applyAlignment="1" pivotButton="0" quotePrefix="0" xfId="0">
      <alignment horizontal="center" vertical="bottom"/>
    </xf>
    <xf numFmtId="165" fontId="3" fillId="0" borderId="4" applyAlignment="1" pivotButton="0" quotePrefix="0" xfId="0">
      <alignment horizontal="center" vertical="bottom"/>
    </xf>
    <xf numFmtId="4" fontId="4" fillId="0" borderId="0" pivotButton="0" quotePrefix="0" xfId="0"/>
    <xf numFmtId="0" fontId="1" fillId="2" borderId="4" applyAlignment="1" pivotButton="0" quotePrefix="0" xfId="0">
      <alignment horizontal="center" vertical="bottom"/>
    </xf>
    <xf numFmtId="0" fontId="1" fillId="2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164" fontId="3" fillId="0" borderId="4" applyAlignment="1" pivotButton="0" quotePrefix="0" xfId="0">
      <alignment horizontal="center" vertical="bottom"/>
    </xf>
    <xf numFmtId="165" fontId="3" fillId="0" borderId="4" applyAlignment="1" pivotButton="0" quotePrefix="0" xfId="0">
      <alignment horizontal="center" vertical="bottom"/>
    </xf>
    <xf numFmtId="0" fontId="5" fillId="2" borderId="5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166" fontId="4" fillId="0" borderId="5" applyAlignment="1" pivotButton="0" quotePrefix="0" xfId="0">
      <alignment horizontal="center"/>
    </xf>
    <xf numFmtId="0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indent="1"/>
    </xf>
    <xf numFmtId="0" fontId="11" fillId="6" borderId="8" applyAlignment="1" pivotButton="0" quotePrefix="0" xfId="0">
      <alignment horizontal="center" vertical="center"/>
    </xf>
    <xf numFmtId="9" fontId="12" fillId="6" borderId="8" applyAlignment="1" pivotButton="0" quotePrefix="0" xfId="0">
      <alignment horizontal="center" vertical="center"/>
    </xf>
    <xf numFmtId="167" fontId="12" fillId="6" borderId="8" applyAlignment="1" pivotButton="0" quotePrefix="0" xfId="0">
      <alignment horizontal="center" vertical="center"/>
    </xf>
    <xf numFmtId="168" fontId="12" fillId="7" borderId="8" applyAlignment="1" pivotButton="0" quotePrefix="0" xfId="0">
      <alignment horizontal="center" vertical="center"/>
    </xf>
    <xf numFmtId="2" fontId="13" fillId="6" borderId="8" applyAlignment="1" pivotButton="0" quotePrefix="0" xfId="0">
      <alignment horizontal="center" vertical="center"/>
    </xf>
    <xf numFmtId="167" fontId="13" fillId="6" borderId="8" applyAlignment="1" pivotButton="0" quotePrefix="0" xfId="0">
      <alignment horizontal="center" vertical="center"/>
    </xf>
    <xf numFmtId="3" fontId="13" fillId="6" borderId="8" applyAlignment="1" pivotButton="0" quotePrefix="0" xfId="0">
      <alignment horizontal="center" vertical="center"/>
    </xf>
    <xf numFmtId="168" fontId="13" fillId="6" borderId="8" applyAlignment="1" pivotButton="0" quotePrefix="0" xfId="0">
      <alignment horizontal="center" vertical="center"/>
    </xf>
    <xf numFmtId="169" fontId="13" fillId="6" borderId="8" applyAlignment="1" pivotButton="0" quotePrefix="0" xfId="0">
      <alignment horizontal="center" vertical="center"/>
    </xf>
    <xf numFmtId="0" fontId="10" fillId="5" borderId="8" applyAlignment="1" pivotButton="0" quotePrefix="0" xfId="0">
      <alignment horizontal="left" vertical="center" indent="1"/>
    </xf>
    <xf numFmtId="0" fontId="11" fillId="5" borderId="8" applyAlignment="1" pivotButton="0" quotePrefix="0" xfId="0">
      <alignment horizontal="center" vertical="center"/>
    </xf>
    <xf numFmtId="9" fontId="12" fillId="5" borderId="8" applyAlignment="1" pivotButton="0" quotePrefix="0" xfId="0">
      <alignment horizontal="center" vertical="center"/>
    </xf>
    <xf numFmtId="167" fontId="12" fillId="5" borderId="8" applyAlignment="1" pivotButton="0" quotePrefix="0" xfId="0">
      <alignment horizontal="center" vertical="center"/>
    </xf>
    <xf numFmtId="2" fontId="13" fillId="5" borderId="8" applyAlignment="1" pivotButton="0" quotePrefix="0" xfId="0">
      <alignment horizontal="center" vertical="center"/>
    </xf>
    <xf numFmtId="167" fontId="13" fillId="5" borderId="8" applyAlignment="1" pivotButton="0" quotePrefix="0" xfId="0">
      <alignment horizontal="center" vertical="center"/>
    </xf>
    <xf numFmtId="3" fontId="13" fillId="5" borderId="8" applyAlignment="1" pivotButton="0" quotePrefix="0" xfId="0">
      <alignment horizontal="center" vertical="center"/>
    </xf>
    <xf numFmtId="168" fontId="13" fillId="5" borderId="8" applyAlignment="1" pivotButton="0" quotePrefix="0" xfId="0">
      <alignment horizontal="center" vertical="center"/>
    </xf>
    <xf numFmtId="169" fontId="13" fillId="5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left" vertical="center" indent="1"/>
    </xf>
    <xf numFmtId="0" fontId="0" fillId="4" borderId="8" pivotButton="0" quotePrefix="0" xfId="0"/>
    <xf numFmtId="168" fontId="7" fillId="4" borderId="8" applyAlignment="1" pivotButton="0" quotePrefix="0" xfId="0">
      <alignment horizontal="center" vertical="center"/>
    </xf>
    <xf numFmtId="3" fontId="7" fillId="4" borderId="8" applyAlignment="1" pivotButton="0" quotePrefix="0" xfId="0">
      <alignment horizontal="center" vertical="center"/>
    </xf>
    <xf numFmtId="169" fontId="7" fillId="4" borderId="8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4" borderId="0" applyAlignment="1" pivotButton="0" quotePrefix="0" xfId="0">
      <alignment horizontal="left" indent="1"/>
    </xf>
    <xf numFmtId="0" fontId="7" fillId="4" borderId="8" applyAlignment="1" pivotButton="0" quotePrefix="0" xfId="0">
      <alignment horizontal="center" vertical="center" wrapText="1"/>
    </xf>
    <xf numFmtId="167" fontId="19" fillId="9" borderId="8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indent="1"/>
    </xf>
    <xf numFmtId="168" fontId="12" fillId="6" borderId="8" applyAlignment="1" pivotButton="0" quotePrefix="0" xfId="0">
      <alignment horizontal="center" vertical="center"/>
    </xf>
    <xf numFmtId="169" fontId="21" fillId="9" borderId="8" applyAlignment="1" pivotButton="0" quotePrefix="0" xfId="0">
      <alignment horizontal="center" vertical="center"/>
    </xf>
    <xf numFmtId="170" fontId="13" fillId="6" borderId="8" applyAlignment="1" pivotButton="0" quotePrefix="0" xfId="0">
      <alignment horizontal="center" vertical="center"/>
    </xf>
    <xf numFmtId="171" fontId="13" fillId="6" borderId="8" applyAlignment="1" pivotButton="0" quotePrefix="0" xfId="0">
      <alignment horizontal="center" vertical="center"/>
    </xf>
    <xf numFmtId="172" fontId="13" fillId="6" borderId="8" applyAlignment="1" pivotButton="0" quotePrefix="0" xfId="0">
      <alignment horizontal="center" vertical="center"/>
    </xf>
    <xf numFmtId="168" fontId="12" fillId="5" borderId="8" applyAlignment="1" pivotButton="0" quotePrefix="0" xfId="0">
      <alignment horizontal="center" vertical="center"/>
    </xf>
    <xf numFmtId="169" fontId="21" fillId="10" borderId="8" applyAlignment="1" pivotButton="0" quotePrefix="0" xfId="0">
      <alignment horizontal="center" vertical="center"/>
    </xf>
    <xf numFmtId="170" fontId="13" fillId="5" borderId="8" applyAlignment="1" pivotButton="0" quotePrefix="0" xfId="0">
      <alignment horizontal="center" vertical="center"/>
    </xf>
    <xf numFmtId="171" fontId="13" fillId="5" borderId="8" applyAlignment="1" pivotButton="0" quotePrefix="0" xfId="0">
      <alignment horizontal="center" vertical="center"/>
    </xf>
    <xf numFmtId="172" fontId="13" fillId="5" borderId="8" applyAlignment="1" pivotButton="0" quotePrefix="0" xfId="0">
      <alignment horizontal="center" vertical="center"/>
    </xf>
    <xf numFmtId="170" fontId="7" fillId="4" borderId="8" applyAlignment="1" pivotButton="0" quotePrefix="0" xfId="0">
      <alignment horizontal="center" vertical="center"/>
    </xf>
    <xf numFmtId="171" fontId="7" fillId="4" borderId="8" applyAlignment="1" pivotButton="0" quotePrefix="0" xfId="0">
      <alignment horizontal="center" vertical="center"/>
    </xf>
    <xf numFmtId="172" fontId="7" fillId="4" borderId="8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wrapText="1" indent="1"/>
    </xf>
    <xf numFmtId="0" fontId="22" fillId="3" borderId="0" applyAlignment="1" pivotButton="0" quotePrefix="0" xfId="0">
      <alignment horizontal="center" vertical="center"/>
    </xf>
    <xf numFmtId="0" fontId="21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173" fontId="13" fillId="5" borderId="8" applyAlignment="1" pivotButton="0" quotePrefix="0" xfId="0">
      <alignment horizontal="center" vertical="center"/>
    </xf>
    <xf numFmtId="173" fontId="21" fillId="9" borderId="8" applyAlignment="1" pivotButton="0" quotePrefix="0" xfId="0">
      <alignment horizontal="center" vertical="center"/>
    </xf>
    <xf numFmtId="174" fontId="13" fillId="6" borderId="8" applyAlignment="1" pivotButton="0" quotePrefix="0" xfId="0">
      <alignment horizontal="center" vertical="center"/>
    </xf>
    <xf numFmtId="175" fontId="13" fillId="6" borderId="8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21" fillId="5" borderId="8" applyAlignment="1" pivotButton="0" quotePrefix="0" xfId="0">
      <alignment horizontal="center" vertical="center"/>
    </xf>
    <xf numFmtId="174" fontId="13" fillId="5" borderId="8" applyAlignment="1" pivotButton="0" quotePrefix="0" xfId="0">
      <alignment horizontal="center" vertical="center"/>
    </xf>
    <xf numFmtId="175" fontId="13" fillId="5" borderId="8" applyAlignment="1" pivotButton="0" quotePrefix="0" xfId="0">
      <alignment horizontal="center" vertical="center"/>
    </xf>
    <xf numFmtId="176" fontId="21" fillId="9" borderId="8" applyAlignment="1" pivotButton="0" quotePrefix="0" xfId="0">
      <alignment horizontal="center" vertical="center"/>
    </xf>
    <xf numFmtId="176" fontId="21" fillId="10" borderId="8" applyAlignment="1" pivotButton="0" quotePrefix="0" xfId="0">
      <alignment horizontal="center" vertical="center"/>
    </xf>
    <xf numFmtId="173" fontId="13" fillId="10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167" fontId="7" fillId="4" borderId="8" applyAlignment="1" pivotButton="0" quotePrefix="0" xfId="0">
      <alignment horizontal="center" vertical="center"/>
    </xf>
    <xf numFmtId="173" fontId="7" fillId="4" borderId="8" applyAlignment="1" pivotButton="0" quotePrefix="0" xfId="0">
      <alignment horizontal="center" vertical="center"/>
    </xf>
    <xf numFmtId="174" fontId="7" fillId="4" borderId="8" applyAlignment="1" pivotButton="0" quotePrefix="0" xfId="0">
      <alignment horizontal="center" vertical="center"/>
    </xf>
    <xf numFmtId="175" fontId="7" fillId="4" borderId="8" applyAlignment="1" pivotButton="0" quotePrefix="0" xfId="0">
      <alignment horizontal="center" vertical="center"/>
    </xf>
    <xf numFmtId="173" fontId="13" fillId="9" borderId="8" applyAlignment="1" pivotButton="0" quotePrefix="0" xfId="0">
      <alignment horizontal="center" vertical="center"/>
    </xf>
    <xf numFmtId="0" fontId="13" fillId="8" borderId="8" applyAlignment="1" pivotButton="0" quotePrefix="0" xfId="0">
      <alignment horizontal="left" vertical="center"/>
    </xf>
    <xf numFmtId="173" fontId="13" fillId="6" borderId="8" applyAlignment="1" pivotButton="0" quotePrefix="0" xfId="0">
      <alignment horizontal="center" vertical="center"/>
    </xf>
    <xf numFmtId="167" fontId="13" fillId="10" borderId="8" applyAlignment="1" pivotButton="0" quotePrefix="0" xfId="0">
      <alignment horizontal="center" vertical="center"/>
    </xf>
    <xf numFmtId="167" fontId="13" fillId="9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Allocation by Network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 1c - Calculation'!F12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'Question 1c - Calculation'!$A$13:$A$20</f>
            </numRef>
          </cat>
          <val>
            <numRef>
              <f>'Question 1c - Calculation'!$F$13:$F$20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Budget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Allocation: D30 vs D180 Payback Window</a:t>
            </a:r>
          </a:p>
        </rich>
      </tx>
    </title>
    <plotArea>
      <barChart>
        <barDir val="col"/>
        <grouping val="clustered"/>
        <ser>
          <idx val="0"/>
          <order val="0"/>
          <tx>
            <v>D30 Budget</v>
          </tx>
          <spPr>
            <a:ln xmlns:a="http://schemas.openxmlformats.org/drawingml/2006/main">
              <a:prstDash val="solid"/>
            </a:ln>
          </spPr>
          <cat>
            <numRef>
              <f>'Question 1d - Calculation'!$A$18:$A$25</f>
            </numRef>
          </cat>
          <val>
            <numRef>
              <f>'Question 1d - Calculation'!$C$18:$C$25</f>
            </numRef>
          </val>
        </ser>
        <ser>
          <idx val="1"/>
          <order val="1"/>
          <tx>
            <v>D180 Budget</v>
          </tx>
          <spPr>
            <a:ln xmlns:a="http://schemas.openxmlformats.org/drawingml/2006/main">
              <a:prstDash val="solid"/>
            </a:ln>
          </spPr>
          <cat>
            <numRef>
              <f>'Question 1d - Calculation'!$A$18:$A$25</f>
            </numRef>
          </cat>
          <val>
            <numRef>
              <f>'Question 1d - Calculation'!$F$18:$F$25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Budget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CTR vs CTI — Weekly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'Question 3a - Analysis'!G4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'Question 3a - Analysis'!$A$5:$A$10</f>
            </numRef>
          </cat>
          <val>
            <numRef>
              <f>'Question 3a - Analysis'!$G$5:$G$10</f>
            </numRef>
          </val>
        </ser>
        <ser>
          <idx val="1"/>
          <order val="1"/>
          <tx>
            <strRef>
              <f>'Question 3a - Analysis'!H4</f>
            </strRef>
          </tx>
          <spPr>
            <a:ln xmlns:a="http://schemas.openxmlformats.org/drawingml/2006/main" w="20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'Question 3a - Analysis'!$A$5:$A$10</f>
            </numRef>
          </cat>
          <val>
            <numRef>
              <f>'Question 3a - Analysis'!$H$5:$H$10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Installs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'Question 3a - Analysis'!F4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'Question 3a - Analysis'!$A$5:$A$10</f>
            </numRef>
          </cat>
          <val>
            <numRef>
              <f>'Question 3a - Analysis'!$F$5:$F$10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Installs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CPI ($) — Weekly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'Question 3a - Analysis'!J4</f>
            </strRef>
          </tx>
          <spPr>
            <a:ln xmlns:a="http://schemas.openxmlformats.org/drawingml/2006/main" w="20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'Question 3a - Analysis'!$A$5:$A$10</f>
            </numRef>
          </cat>
          <val>
            <numRef>
              <f>'Question 3a - Analysis'!$J$5:$J$10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CPI ($)</a:t>
                </a:r>
              </a:p>
            </rich>
          </tx>
        </title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23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23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13" customWidth="1" style="18" min="2" max="2"/>
    <col width="11" customWidth="1" style="18" min="3" max="3"/>
    <col width="16" customWidth="1" style="18" min="4" max="4"/>
    <col width="13" customWidth="1" style="18" min="5" max="5"/>
    <col width="20" customWidth="1" style="18" min="6" max="6"/>
    <col width="8" customWidth="1" style="18" min="7" max="7"/>
    <col width="14" customWidth="1" style="18" min="8" max="8"/>
    <col width="12" customWidth="1" style="18" min="9" max="9"/>
    <col width="18" customWidth="1" style="18" min="10" max="10"/>
    <col width="10" customWidth="1" style="18" min="11" max="11"/>
  </cols>
  <sheetData>
    <row r="1" ht="28" customHeight="1" s="18">
      <c r="A1" s="19" t="inlineStr">
        <is>
          <t>Dream Games – New Puzzle Game | Question 1c: Budget Allocation &amp; CPI Calculation</t>
        </is>
      </c>
    </row>
    <row r="3">
      <c r="A3" s="20" t="inlineStr">
        <is>
          <t>Assumptions</t>
        </is>
      </c>
    </row>
    <row r="4">
      <c r="A4" s="21" t="inlineStr">
        <is>
          <t>Baseline Budget per Network</t>
        </is>
      </c>
      <c r="B4" s="22" t="inlineStr">
        <is>
          <t>$100,000</t>
        </is>
      </c>
    </row>
    <row r="5">
      <c r="A5" s="21" t="inlineStr">
        <is>
          <t>Budget Step Size (25% of baseline)</t>
        </is>
      </c>
      <c r="B5" s="22" t="inlineStr">
        <is>
          <t>$25,000</t>
        </is>
      </c>
    </row>
    <row r="6">
      <c r="A6" s="21" t="inlineStr">
        <is>
          <t>CPI Rate – Ad Network (per step)</t>
        </is>
      </c>
      <c r="B6" s="22" t="inlineStr">
        <is>
          <t>10%</t>
        </is>
      </c>
    </row>
    <row r="7">
      <c r="A7" s="21" t="inlineStr">
        <is>
          <t>CPI Rate – DSP (per step)</t>
        </is>
      </c>
      <c r="B7" s="22" t="inlineStr">
        <is>
          <t>15%</t>
        </is>
      </c>
    </row>
    <row r="8">
      <c r="A8" s="21" t="inlineStr">
        <is>
          <t>CPI Rate – Social (per step)</t>
        </is>
      </c>
      <c r="B8" s="22" t="inlineStr">
        <is>
          <t>20%</t>
        </is>
      </c>
    </row>
    <row r="9">
      <c r="A9" s="21" t="inlineStr">
        <is>
          <t>D30 ARPU</t>
        </is>
      </c>
      <c r="B9" s="22" t="inlineStr">
        <is>
          <t>Stable (no change)</t>
        </is>
      </c>
    </row>
    <row r="10">
      <c r="A10" s="21" t="inlineStr">
        <is>
          <t>Total Available Budget</t>
        </is>
      </c>
      <c r="B10" s="22" t="inlineStr">
        <is>
          <t>$10,000,000</t>
        </is>
      </c>
    </row>
    <row r="12" ht="36" customHeight="1" s="18">
      <c r="A12" s="23" t="inlineStr">
        <is>
          <t>Network</t>
        </is>
      </c>
      <c r="B12" s="23" t="inlineStr">
        <is>
          <t>Type</t>
        </is>
      </c>
      <c r="C12" s="23" t="inlineStr">
        <is>
          <t>CPI Rate</t>
        </is>
      </c>
      <c r="D12" s="23" t="inlineStr">
        <is>
          <t>Baseline CPI ($)</t>
        </is>
      </c>
      <c r="E12" s="23" t="inlineStr">
        <is>
          <t>D30 ARPU ($)</t>
        </is>
      </c>
      <c r="F12" s="23" t="inlineStr">
        <is>
          <t>Allocated Budget ($)</t>
        </is>
      </c>
      <c r="G12" s="23" t="inlineStr">
        <is>
          <t>Steps</t>
        </is>
      </c>
      <c r="H12" s="23" t="inlineStr">
        <is>
          <t>Final CPI ($)</t>
        </is>
      </c>
      <c r="I12" s="23" t="inlineStr">
        <is>
          <t>Installs</t>
        </is>
      </c>
      <c r="J12" s="23" t="inlineStr">
        <is>
          <t>D30 Revenue ($)</t>
        </is>
      </c>
      <c r="K12" s="23" t="inlineStr">
        <is>
          <t>ROAS (%)</t>
        </is>
      </c>
    </row>
    <row r="13" ht="20" customHeight="1" s="18">
      <c r="A13" s="24" t="inlineStr">
        <is>
          <t>AppLovin</t>
        </is>
      </c>
      <c r="B13" s="25" t="inlineStr">
        <is>
          <t>Ad Network</t>
        </is>
      </c>
      <c r="C13" s="26" t="n">
        <v>0.1</v>
      </c>
      <c r="D13" s="27" t="n">
        <v>7</v>
      </c>
      <c r="E13" s="27" t="n">
        <v>40</v>
      </c>
      <c r="F13" s="28" t="n">
        <v>775000</v>
      </c>
      <c r="G13" s="29">
        <f>(F13-100000)/25000</f>
        <v/>
      </c>
      <c r="H13" s="30">
        <f>D13*(1+C13*G13)</f>
        <v/>
      </c>
      <c r="I13" s="31">
        <f>F13/H13</f>
        <v/>
      </c>
      <c r="J13" s="32">
        <f>I13*E13</f>
        <v/>
      </c>
      <c r="K13" s="33">
        <f>J13/F13</f>
        <v/>
      </c>
    </row>
    <row r="14" ht="20" customHeight="1" s="18">
      <c r="A14" s="34" t="inlineStr">
        <is>
          <t>Unity</t>
        </is>
      </c>
      <c r="B14" s="35" t="inlineStr">
        <is>
          <t>Ad Network</t>
        </is>
      </c>
      <c r="C14" s="36" t="n">
        <v>0.1</v>
      </c>
      <c r="D14" s="37" t="n">
        <v>2.5</v>
      </c>
      <c r="E14" s="37" t="n">
        <v>8</v>
      </c>
      <c r="F14" s="28" t="n">
        <v>1375000</v>
      </c>
      <c r="G14" s="38">
        <f>(F14-100000)/25000</f>
        <v/>
      </c>
      <c r="H14" s="39">
        <f>D14*(1+C14*G14)</f>
        <v/>
      </c>
      <c r="I14" s="40">
        <f>F14/H14</f>
        <v/>
      </c>
      <c r="J14" s="41">
        <f>I14*E14</f>
        <v/>
      </c>
      <c r="K14" s="42">
        <f>J14/F14</f>
        <v/>
      </c>
    </row>
    <row r="15" ht="20" customHeight="1" s="18">
      <c r="A15" s="24" t="inlineStr">
        <is>
          <t>Mintegral</t>
        </is>
      </c>
      <c r="B15" s="25" t="inlineStr">
        <is>
          <t>Ad Network</t>
        </is>
      </c>
      <c r="C15" s="26" t="n">
        <v>0.1</v>
      </c>
      <c r="D15" s="27" t="n">
        <v>4</v>
      </c>
      <c r="E15" s="27" t="n">
        <v>7</v>
      </c>
      <c r="F15" s="28" t="n">
        <v>1050000</v>
      </c>
      <c r="G15" s="29">
        <f>(F15-100000)/25000</f>
        <v/>
      </c>
      <c r="H15" s="30">
        <f>D15*(1+C15*G15)</f>
        <v/>
      </c>
      <c r="I15" s="31">
        <f>F15/H15</f>
        <v/>
      </c>
      <c r="J15" s="32">
        <f>I15*E15</f>
        <v/>
      </c>
      <c r="K15" s="33">
        <f>J15/F15</f>
        <v/>
      </c>
    </row>
    <row r="16" ht="20" customHeight="1" s="18">
      <c r="A16" s="34" t="inlineStr">
        <is>
          <t>Liftoff</t>
        </is>
      </c>
      <c r="B16" s="35" t="inlineStr">
        <is>
          <t>Ad Network</t>
        </is>
      </c>
      <c r="C16" s="36" t="n">
        <v>0.1</v>
      </c>
      <c r="D16" s="37" t="n">
        <v>4</v>
      </c>
      <c r="E16" s="37" t="n">
        <v>10</v>
      </c>
      <c r="F16" s="28" t="n">
        <v>1050000</v>
      </c>
      <c r="G16" s="38">
        <f>(F16-100000)/25000</f>
        <v/>
      </c>
      <c r="H16" s="39">
        <f>D16*(1+C16*G16)</f>
        <v/>
      </c>
      <c r="I16" s="40">
        <f>F16/H16</f>
        <v/>
      </c>
      <c r="J16" s="41">
        <f>I16*E16</f>
        <v/>
      </c>
      <c r="K16" s="42">
        <f>J16/F16</f>
        <v/>
      </c>
    </row>
    <row r="17" ht="20" customHeight="1" s="18">
      <c r="A17" s="24" t="inlineStr">
        <is>
          <t>Moloco</t>
        </is>
      </c>
      <c r="B17" s="25" t="inlineStr">
        <is>
          <t>DSP</t>
        </is>
      </c>
      <c r="C17" s="26" t="n">
        <v>0.15</v>
      </c>
      <c r="D17" s="27" t="n">
        <v>6</v>
      </c>
      <c r="E17" s="27" t="n">
        <v>30</v>
      </c>
      <c r="F17" s="28" t="n">
        <v>475000</v>
      </c>
      <c r="G17" s="29">
        <f>(F17-100000)/25000</f>
        <v/>
      </c>
      <c r="H17" s="30">
        <f>D17*(1+C17*G17)</f>
        <v/>
      </c>
      <c r="I17" s="31">
        <f>F17/H17</f>
        <v/>
      </c>
      <c r="J17" s="32">
        <f>I17*E17</f>
        <v/>
      </c>
      <c r="K17" s="33">
        <f>J17/F17</f>
        <v/>
      </c>
    </row>
    <row r="18" ht="20" customHeight="1" s="18">
      <c r="A18" s="34" t="inlineStr">
        <is>
          <t>Facebook</t>
        </is>
      </c>
      <c r="B18" s="35" t="inlineStr">
        <is>
          <t>Social</t>
        </is>
      </c>
      <c r="C18" s="36" t="n">
        <v>0.2</v>
      </c>
      <c r="D18" s="37" t="n">
        <v>5</v>
      </c>
      <c r="E18" s="37" t="n">
        <v>35</v>
      </c>
      <c r="F18" s="28" t="n">
        <v>275000</v>
      </c>
      <c r="G18" s="38">
        <f>(F18-100000)/25000</f>
        <v/>
      </c>
      <c r="H18" s="39">
        <f>D18*(1+C18*G18)</f>
        <v/>
      </c>
      <c r="I18" s="40">
        <f>F18/H18</f>
        <v/>
      </c>
      <c r="J18" s="41">
        <f>I18*E18</f>
        <v/>
      </c>
      <c r="K18" s="42">
        <f>J18/F18</f>
        <v/>
      </c>
    </row>
    <row r="19" ht="20" customHeight="1" s="18">
      <c r="A19" s="24" t="inlineStr">
        <is>
          <t>TikTok</t>
        </is>
      </c>
      <c r="B19" s="25" t="inlineStr">
        <is>
          <t>Social</t>
        </is>
      </c>
      <c r="C19" s="26" t="n">
        <v>0.2</v>
      </c>
      <c r="D19" s="27" t="n">
        <v>5</v>
      </c>
      <c r="E19" s="27" t="n">
        <v>15</v>
      </c>
      <c r="F19" s="28" t="n">
        <v>275000</v>
      </c>
      <c r="G19" s="29">
        <f>(F19-100000)/25000</f>
        <v/>
      </c>
      <c r="H19" s="30">
        <f>D19*(1+C19*G19)</f>
        <v/>
      </c>
      <c r="I19" s="31">
        <f>F19/H19</f>
        <v/>
      </c>
      <c r="J19" s="32">
        <f>I19*E19</f>
        <v/>
      </c>
      <c r="K19" s="33">
        <f>J19/F19</f>
        <v/>
      </c>
    </row>
    <row r="20" ht="20" customHeight="1" s="18">
      <c r="A20" s="34" t="inlineStr">
        <is>
          <t>Google UAC</t>
        </is>
      </c>
      <c r="B20" s="35" t="inlineStr">
        <is>
          <t>DSP</t>
        </is>
      </c>
      <c r="C20" s="36" t="n">
        <v>0.15</v>
      </c>
      <c r="D20" s="37" t="n">
        <v>3</v>
      </c>
      <c r="E20" s="37" t="n">
        <v>25</v>
      </c>
      <c r="F20" s="28" t="n">
        <v>700000</v>
      </c>
      <c r="G20" s="38">
        <f>(F20-100000)/25000</f>
        <v/>
      </c>
      <c r="H20" s="39">
        <f>D20*(1+C20*G20)</f>
        <v/>
      </c>
      <c r="I20" s="40">
        <f>F20/H20</f>
        <v/>
      </c>
      <c r="J20" s="41">
        <f>I20*E20</f>
        <v/>
      </c>
      <c r="K20" s="42">
        <f>J20/F20</f>
        <v/>
      </c>
    </row>
    <row r="21">
      <c r="A21" s="43" t="inlineStr">
        <is>
          <t>TOTAL</t>
        </is>
      </c>
      <c r="B21" s="44" t="n"/>
      <c r="C21" s="44" t="n"/>
      <c r="D21" s="44" t="n"/>
      <c r="E21" s="44" t="n"/>
      <c r="F21" s="45">
        <f>SUM(F13:F20)</f>
        <v/>
      </c>
      <c r="G21" s="44" t="n"/>
      <c r="H21" s="44" t="n"/>
      <c r="I21" s="46">
        <f>SUM(I13:I20)</f>
        <v/>
      </c>
      <c r="J21" s="45">
        <f>SUM(J13:J20)</f>
        <v/>
      </c>
      <c r="K21" s="47">
        <f>J21/F21</f>
        <v/>
      </c>
    </row>
    <row r="23" ht="30" customHeight="1" s="18">
      <c r="A23" s="48" t="inlineStr">
        <is>
          <t>⚠️  Undeployed Budget: $4,025,000 — Remaining budget cannot be deployed while maintaining ≥100% portfolio ROAS within 30-day payback window. See Question 1d for extended payback analysis.</t>
        </is>
      </c>
    </row>
    <row r="25">
      <c r="A25" s="49" t="inlineStr">
        <is>
          <t>Color Legend:</t>
        </is>
      </c>
      <c r="B25" s="50" t="inlineStr">
        <is>
          <t>Blue text = Hardcoded inputs</t>
        </is>
      </c>
      <c r="C25" s="51" t="inlineStr">
        <is>
          <t>Black text = Formulas</t>
        </is>
      </c>
      <c r="D25" s="52" t="inlineStr">
        <is>
          <t>Green text = Cross-sheet links</t>
        </is>
      </c>
    </row>
  </sheetData>
  <mergeCells count="3">
    <mergeCell ref="A3:B3"/>
    <mergeCell ref="A1:K1"/>
    <mergeCell ref="A23:K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3" customWidth="1" style="18" min="1" max="1"/>
    <col width="12" customWidth="1" style="18" min="2" max="2"/>
    <col width="13" customWidth="1" style="18" min="3" max="3"/>
    <col width="13" customWidth="1" style="18" min="4" max="4"/>
    <col width="10" customWidth="1" style="18" min="5" max="5"/>
    <col width="13" customWidth="1" style="18" min="6" max="6"/>
    <col width="13" customWidth="1" style="18" min="7" max="7"/>
    <col width="10" customWidth="1" style="18" min="8" max="8"/>
    <col width="12" customWidth="1" style="18" min="9" max="9"/>
    <col width="11" customWidth="1" style="18" min="10" max="10"/>
    <col width="11" customWidth="1" style="18" min="11" max="11"/>
    <col width="11" customWidth="1" style="18" min="12" max="12"/>
  </cols>
  <sheetData>
    <row r="1" ht="28" customHeight="1" s="18">
      <c r="A1" s="19" t="inlineStr">
        <is>
          <t>Dream Games – New Puzzle Game | Question 1d: 180-Day Payback Window Analysis</t>
        </is>
      </c>
    </row>
    <row r="3">
      <c r="A3" s="55" t="inlineStr">
        <is>
          <t>SECTION 1 — ARPU Trend Data (Given)</t>
        </is>
      </c>
    </row>
    <row r="4" ht="32" customHeight="1" s="18">
      <c r="A4" s="56" t="inlineStr">
        <is>
          <t>Network</t>
        </is>
      </c>
      <c r="B4" s="56" t="inlineStr">
        <is>
          <t>Type</t>
        </is>
      </c>
      <c r="C4" s="56" t="inlineStr">
        <is>
          <t>CPI (Fixed)</t>
        </is>
      </c>
      <c r="D4" s="56" t="inlineStr">
        <is>
          <t>D1 ARPU</t>
        </is>
      </c>
      <c r="E4" s="56" t="inlineStr">
        <is>
          <t>D7 ARPU</t>
        </is>
      </c>
      <c r="F4" s="56" t="inlineStr">
        <is>
          <t>D15 ARPU</t>
        </is>
      </c>
      <c r="G4" s="56" t="inlineStr">
        <is>
          <t>D30 ARPU</t>
        </is>
      </c>
      <c r="H4" s="56" t="inlineStr">
        <is>
          <t>D60 ARPU</t>
        </is>
      </c>
      <c r="I4" s="56" t="inlineStr">
        <is>
          <t>D90 ARPU</t>
        </is>
      </c>
      <c r="J4" s="56" t="inlineStr">
        <is>
          <t>D180 ARPU (Est.)</t>
        </is>
      </c>
    </row>
    <row r="5" ht="18" customHeight="1" s="18">
      <c r="A5" s="24" t="inlineStr">
        <is>
          <t>AppLovin</t>
        </is>
      </c>
      <c r="B5" s="25" t="inlineStr">
        <is>
          <t>Ad Network</t>
        </is>
      </c>
      <c r="C5" s="27" t="n">
        <v>25.9</v>
      </c>
      <c r="D5" s="27" t="n">
        <v>1.2</v>
      </c>
      <c r="E5" s="27" t="n">
        <v>9.1</v>
      </c>
      <c r="F5" s="27" t="n">
        <v>20.1</v>
      </c>
      <c r="G5" s="27" t="n">
        <v>40</v>
      </c>
      <c r="H5" s="27" t="n">
        <v>75.3</v>
      </c>
      <c r="I5" s="27" t="n">
        <v>100.7</v>
      </c>
      <c r="J5" s="57" t="n">
        <v>92.3</v>
      </c>
    </row>
    <row r="6" ht="18" customHeight="1" s="18">
      <c r="A6" s="34" t="inlineStr">
        <is>
          <t>Unity</t>
        </is>
      </c>
      <c r="B6" s="35" t="inlineStr">
        <is>
          <t>Ad Network</t>
        </is>
      </c>
      <c r="C6" s="37" t="n">
        <v>15.25</v>
      </c>
      <c r="D6" s="37" t="n">
        <v>0.2</v>
      </c>
      <c r="E6" s="37" t="n">
        <v>1.8</v>
      </c>
      <c r="F6" s="37" t="n">
        <v>4</v>
      </c>
      <c r="G6" s="37" t="n">
        <v>8</v>
      </c>
      <c r="H6" s="37" t="n">
        <v>15.2</v>
      </c>
      <c r="I6" s="37" t="n">
        <v>19.4</v>
      </c>
      <c r="J6" s="57" t="n">
        <v>18.2</v>
      </c>
    </row>
    <row r="7" ht="18" customHeight="1" s="18">
      <c r="A7" s="24" t="inlineStr">
        <is>
          <t>Mintegral</t>
        </is>
      </c>
      <c r="B7" s="25" t="inlineStr">
        <is>
          <t>Ad Network</t>
        </is>
      </c>
      <c r="C7" s="27" t="n">
        <v>19.2</v>
      </c>
      <c r="D7" s="27" t="n">
        <v>0.3</v>
      </c>
      <c r="E7" s="27" t="n">
        <v>1.9</v>
      </c>
      <c r="F7" s="27" t="n">
        <v>3.7</v>
      </c>
      <c r="G7" s="27" t="n">
        <v>7</v>
      </c>
      <c r="H7" s="27" t="n">
        <v>13.2</v>
      </c>
      <c r="I7" s="27" t="n">
        <v>18.6</v>
      </c>
      <c r="J7" s="57" t="n">
        <v>16.6</v>
      </c>
    </row>
    <row r="8" ht="18" customHeight="1" s="18">
      <c r="A8" s="34" t="inlineStr">
        <is>
          <t>Liftoff</t>
        </is>
      </c>
      <c r="B8" s="35" t="inlineStr">
        <is>
          <t>Ad Network</t>
        </is>
      </c>
      <c r="C8" s="37" t="n">
        <v>19.2</v>
      </c>
      <c r="D8" s="37" t="n">
        <v>0.3</v>
      </c>
      <c r="E8" s="37" t="n">
        <v>2.4</v>
      </c>
      <c r="F8" s="37" t="n">
        <v>5.1</v>
      </c>
      <c r="G8" s="37" t="n">
        <v>10</v>
      </c>
      <c r="H8" s="37" t="n">
        <v>18.5</v>
      </c>
      <c r="I8" s="37" t="n">
        <v>24.2</v>
      </c>
      <c r="J8" s="57" t="n">
        <v>22.5</v>
      </c>
    </row>
    <row r="9" ht="18" customHeight="1" s="18">
      <c r="A9" s="24" t="inlineStr">
        <is>
          <t>Moloco</t>
        </is>
      </c>
      <c r="B9" s="25" t="inlineStr">
        <is>
          <t>DSP</t>
        </is>
      </c>
      <c r="C9" s="27" t="n">
        <v>19.5</v>
      </c>
      <c r="D9" s="27" t="n">
        <v>0.8</v>
      </c>
      <c r="E9" s="27" t="n">
        <v>6</v>
      </c>
      <c r="F9" s="27" t="n">
        <v>14.3</v>
      </c>
      <c r="G9" s="27" t="n">
        <v>30</v>
      </c>
      <c r="H9" s="27" t="n">
        <v>61.1</v>
      </c>
      <c r="I9" s="27" t="n">
        <v>91.2</v>
      </c>
      <c r="J9" s="57" t="n">
        <v>78.40000000000001</v>
      </c>
    </row>
    <row r="10" ht="18" customHeight="1" s="18">
      <c r="A10" s="34" t="inlineStr">
        <is>
          <t>Facebook</t>
        </is>
      </c>
      <c r="B10" s="35" t="inlineStr">
        <is>
          <t>Social</t>
        </is>
      </c>
      <c r="C10" s="37" t="n">
        <v>12</v>
      </c>
      <c r="D10" s="37" t="n">
        <v>1.6</v>
      </c>
      <c r="E10" s="37" t="n">
        <v>9.699999999999999</v>
      </c>
      <c r="F10" s="37" t="n">
        <v>19.4</v>
      </c>
      <c r="G10" s="37" t="n">
        <v>35</v>
      </c>
      <c r="H10" s="37" t="n">
        <v>61.8</v>
      </c>
      <c r="I10" s="37" t="n">
        <v>73.2</v>
      </c>
      <c r="J10" s="57" t="n">
        <v>72.09999999999999</v>
      </c>
    </row>
    <row r="11" ht="18" customHeight="1" s="18">
      <c r="A11" s="24" t="inlineStr">
        <is>
          <t>TikTok</t>
        </is>
      </c>
      <c r="B11" s="25" t="inlineStr">
        <is>
          <t>Social</t>
        </is>
      </c>
      <c r="C11" s="27" t="n">
        <v>12</v>
      </c>
      <c r="D11" s="27" t="n">
        <v>0.8</v>
      </c>
      <c r="E11" s="27" t="n">
        <v>4.8</v>
      </c>
      <c r="F11" s="27" t="n">
        <v>8.6</v>
      </c>
      <c r="G11" s="27" t="n">
        <v>15</v>
      </c>
      <c r="H11" s="27" t="n">
        <v>25.7</v>
      </c>
      <c r="I11" s="27" t="n">
        <v>31.4</v>
      </c>
      <c r="J11" s="57" t="n">
        <v>30.6</v>
      </c>
    </row>
    <row r="12" ht="18" customHeight="1" s="18">
      <c r="A12" s="34" t="inlineStr">
        <is>
          <t>Google UAC</t>
        </is>
      </c>
      <c r="B12" s="35" t="inlineStr">
        <is>
          <t>DSP</t>
        </is>
      </c>
      <c r="C12" s="37" t="n">
        <v>13.8</v>
      </c>
      <c r="D12" s="37" t="n">
        <v>1</v>
      </c>
      <c r="E12" s="37" t="n">
        <v>6.9</v>
      </c>
      <c r="F12" s="37" t="n">
        <v>13.3</v>
      </c>
      <c r="G12" s="37" t="n">
        <v>25</v>
      </c>
      <c r="H12" s="37" t="n">
        <v>43.2</v>
      </c>
      <c r="I12" s="37" t="n">
        <v>54.6</v>
      </c>
      <c r="J12" s="57" t="n">
        <v>52.2</v>
      </c>
    </row>
    <row r="13" ht="4" customHeight="1" s="18"/>
    <row r="14">
      <c r="A14" s="58" t="inlineStr">
        <is>
          <t>* D180 ARPU estimated via logarithmic regression on D1→D90 trend data. Formula: ARPU = a × ln(day) + b</t>
        </is>
      </c>
    </row>
    <row r="16">
      <c r="A16" s="55" t="inlineStr">
        <is>
          <t>SECTION 2 — Budget Allocation Comparison: D30 vs D180 Payback Window</t>
        </is>
      </c>
    </row>
    <row r="17" ht="32" customHeight="1" s="18">
      <c r="A17" s="56" t="inlineStr">
        <is>
          <t>Network</t>
        </is>
      </c>
      <c r="B17" s="56" t="inlineStr">
        <is>
          <t>Type</t>
        </is>
      </c>
      <c r="C17" s="56" t="inlineStr">
        <is>
          <t>D30 Budget</t>
        </is>
      </c>
      <c r="D17" s="56" t="inlineStr">
        <is>
          <t>D30 Installs</t>
        </is>
      </c>
      <c r="E17" s="56" t="inlineStr">
        <is>
          <t>D30 ROAS</t>
        </is>
      </c>
      <c r="F17" s="56" t="inlineStr">
        <is>
          <t>D180 Budget</t>
        </is>
      </c>
      <c r="G17" s="56" t="inlineStr">
        <is>
          <t>D180 Installs</t>
        </is>
      </c>
      <c r="H17" s="56" t="inlineStr">
        <is>
          <t>D180 ROAS</t>
        </is>
      </c>
      <c r="I17" s="56" t="inlineStr">
        <is>
          <t>Budget Δ</t>
        </is>
      </c>
      <c r="J17" s="56" t="inlineStr">
        <is>
          <t>Budget Δ %</t>
        </is>
      </c>
      <c r="K17" s="56" t="inlineStr">
        <is>
          <t>Install Δ</t>
        </is>
      </c>
      <c r="L17" s="56" t="inlineStr">
        <is>
          <t>Install Δ %</t>
        </is>
      </c>
    </row>
    <row r="18" ht="18" customHeight="1" s="18">
      <c r="A18" s="24" t="inlineStr">
        <is>
          <t>AppLovin</t>
        </is>
      </c>
      <c r="B18" s="25" t="inlineStr">
        <is>
          <t>Ad Network</t>
        </is>
      </c>
      <c r="C18" s="59" t="n">
        <v>775000</v>
      </c>
      <c r="D18" s="31" t="n">
        <v>29923</v>
      </c>
      <c r="E18" s="60" t="n">
        <v>1.544</v>
      </c>
      <c r="F18" s="59" t="n">
        <v>850000</v>
      </c>
      <c r="G18" s="31" t="n">
        <v>32819</v>
      </c>
      <c r="H18" s="60" t="n">
        <v>3.564</v>
      </c>
      <c r="I18" s="61">
        <f>F18-C18</f>
        <v/>
      </c>
      <c r="J18" s="62">
        <f>(F18-C18)/C18</f>
        <v/>
      </c>
      <c r="K18" s="63">
        <f>G18-D18</f>
        <v/>
      </c>
      <c r="L18" s="62">
        <f>(G18-D18)/D18</f>
        <v/>
      </c>
    </row>
    <row r="19" ht="18" customHeight="1" s="18">
      <c r="A19" s="34" t="inlineStr">
        <is>
          <t>Unity</t>
        </is>
      </c>
      <c r="B19" s="35" t="inlineStr">
        <is>
          <t>Ad Network</t>
        </is>
      </c>
      <c r="C19" s="64" t="n">
        <v>1375000</v>
      </c>
      <c r="D19" s="40" t="n">
        <v>90164</v>
      </c>
      <c r="E19" s="65" t="n">
        <v>0.525</v>
      </c>
      <c r="F19" s="64" t="n">
        <v>1300000</v>
      </c>
      <c r="G19" s="40" t="n">
        <v>85246</v>
      </c>
      <c r="H19" s="60" t="n">
        <v>1.193</v>
      </c>
      <c r="I19" s="66">
        <f>F19-C19</f>
        <v/>
      </c>
      <c r="J19" s="67">
        <f>(F19-C19)/C19</f>
        <v/>
      </c>
      <c r="K19" s="68">
        <f>G19-D19</f>
        <v/>
      </c>
      <c r="L19" s="67">
        <f>(G19-D19)/D19</f>
        <v/>
      </c>
    </row>
    <row r="20" ht="18" customHeight="1" s="18">
      <c r="A20" s="24" t="inlineStr">
        <is>
          <t>Mintegral</t>
        </is>
      </c>
      <c r="B20" s="25" t="inlineStr">
        <is>
          <t>Ad Network</t>
        </is>
      </c>
      <c r="C20" s="59" t="n">
        <v>1050000</v>
      </c>
      <c r="D20" s="31" t="n">
        <v>54687</v>
      </c>
      <c r="E20" s="65" t="n">
        <v>0.365</v>
      </c>
      <c r="F20" s="59" t="n">
        <v>1075000</v>
      </c>
      <c r="G20" s="31" t="n">
        <v>55990</v>
      </c>
      <c r="H20" s="65" t="n">
        <v>0.865</v>
      </c>
      <c r="I20" s="61">
        <f>F20-C20</f>
        <v/>
      </c>
      <c r="J20" s="62">
        <f>(F20-C20)/C20</f>
        <v/>
      </c>
      <c r="K20" s="63">
        <f>G20-D20</f>
        <v/>
      </c>
      <c r="L20" s="62">
        <f>(G20-D20)/D20</f>
        <v/>
      </c>
    </row>
    <row r="21" ht="18" customHeight="1" s="18">
      <c r="A21" s="34" t="inlineStr">
        <is>
          <t>Liftoff</t>
        </is>
      </c>
      <c r="B21" s="35" t="inlineStr">
        <is>
          <t>Ad Network</t>
        </is>
      </c>
      <c r="C21" s="64" t="n">
        <v>1050000</v>
      </c>
      <c r="D21" s="40" t="n">
        <v>54687</v>
      </c>
      <c r="E21" s="65" t="n">
        <v>0.521</v>
      </c>
      <c r="F21" s="64" t="n">
        <v>1075000</v>
      </c>
      <c r="G21" s="40" t="n">
        <v>55990</v>
      </c>
      <c r="H21" s="60" t="n">
        <v>1.172</v>
      </c>
      <c r="I21" s="66">
        <f>F21-C21</f>
        <v/>
      </c>
      <c r="J21" s="67">
        <f>(F21-C21)/C21</f>
        <v/>
      </c>
      <c r="K21" s="68">
        <f>G21-D21</f>
        <v/>
      </c>
      <c r="L21" s="67">
        <f>(G21-D21)/D21</f>
        <v/>
      </c>
    </row>
    <row r="22" ht="18" customHeight="1" s="18">
      <c r="A22" s="24" t="inlineStr">
        <is>
          <t>Moloco</t>
        </is>
      </c>
      <c r="B22" s="25" t="inlineStr">
        <is>
          <t>DSP</t>
        </is>
      </c>
      <c r="C22" s="59" t="n">
        <v>475000</v>
      </c>
      <c r="D22" s="31" t="n">
        <v>24359</v>
      </c>
      <c r="E22" s="60" t="n">
        <v>1.538</v>
      </c>
      <c r="F22" s="59" t="n">
        <v>1075000</v>
      </c>
      <c r="G22" s="31" t="n">
        <v>55128</v>
      </c>
      <c r="H22" s="60" t="n">
        <v>4.021</v>
      </c>
      <c r="I22" s="61">
        <f>F22-C22</f>
        <v/>
      </c>
      <c r="J22" s="62">
        <f>(F22-C22)/C22</f>
        <v/>
      </c>
      <c r="K22" s="63">
        <f>G22-D22</f>
        <v/>
      </c>
      <c r="L22" s="62">
        <f>(G22-D22)/D22</f>
        <v/>
      </c>
    </row>
    <row r="23" ht="18" customHeight="1" s="18">
      <c r="A23" s="34" t="inlineStr">
        <is>
          <t>Facebook</t>
        </is>
      </c>
      <c r="B23" s="35" t="inlineStr">
        <is>
          <t>Social</t>
        </is>
      </c>
      <c r="C23" s="64" t="n">
        <v>275000</v>
      </c>
      <c r="D23" s="40" t="n">
        <v>22917</v>
      </c>
      <c r="E23" s="60" t="n">
        <v>2.917</v>
      </c>
      <c r="F23" s="64" t="n">
        <v>1600000</v>
      </c>
      <c r="G23" s="40" t="n">
        <v>133333</v>
      </c>
      <c r="H23" s="60" t="n">
        <v>6.008</v>
      </c>
      <c r="I23" s="66">
        <f>F23-C23</f>
        <v/>
      </c>
      <c r="J23" s="67">
        <f>(F23-C23)/C23</f>
        <v/>
      </c>
      <c r="K23" s="68">
        <f>G23-D23</f>
        <v/>
      </c>
      <c r="L23" s="67">
        <f>(G23-D23)/D23</f>
        <v/>
      </c>
    </row>
    <row r="24" ht="18" customHeight="1" s="18">
      <c r="A24" s="24" t="inlineStr">
        <is>
          <t>TikTok</t>
        </is>
      </c>
      <c r="B24" s="25" t="inlineStr">
        <is>
          <t>Social</t>
        </is>
      </c>
      <c r="C24" s="59" t="n">
        <v>275000</v>
      </c>
      <c r="D24" s="31" t="n">
        <v>22917</v>
      </c>
      <c r="E24" s="60" t="n">
        <v>1.25</v>
      </c>
      <c r="F24" s="59" t="n">
        <v>1600000</v>
      </c>
      <c r="G24" s="31" t="n">
        <v>133333</v>
      </c>
      <c r="H24" s="60" t="n">
        <v>2.55</v>
      </c>
      <c r="I24" s="61">
        <f>F24-C24</f>
        <v/>
      </c>
      <c r="J24" s="62">
        <f>(F24-C24)/C24</f>
        <v/>
      </c>
      <c r="K24" s="63">
        <f>G24-D24</f>
        <v/>
      </c>
      <c r="L24" s="62">
        <f>(G24-D24)/D24</f>
        <v/>
      </c>
    </row>
    <row r="25" ht="18" customHeight="1" s="18">
      <c r="A25" s="34" t="inlineStr">
        <is>
          <t>Google UAC</t>
        </is>
      </c>
      <c r="B25" s="35" t="inlineStr">
        <is>
          <t>DSP</t>
        </is>
      </c>
      <c r="C25" s="64" t="n">
        <v>700000</v>
      </c>
      <c r="D25" s="40" t="n">
        <v>50725</v>
      </c>
      <c r="E25" s="60" t="n">
        <v>1.812</v>
      </c>
      <c r="F25" s="64" t="n">
        <v>1425000</v>
      </c>
      <c r="G25" s="40" t="n">
        <v>103261</v>
      </c>
      <c r="H25" s="60" t="n">
        <v>3.783</v>
      </c>
      <c r="I25" s="66">
        <f>F25-C25</f>
        <v/>
      </c>
      <c r="J25" s="67">
        <f>(F25-C25)/C25</f>
        <v/>
      </c>
      <c r="K25" s="68">
        <f>G25-D25</f>
        <v/>
      </c>
      <c r="L25" s="67">
        <f>(G25-D25)/D25</f>
        <v/>
      </c>
    </row>
    <row r="26">
      <c r="A26" s="43" t="inlineStr">
        <is>
          <t>TOTAL</t>
        </is>
      </c>
      <c r="B26" s="44" t="n"/>
      <c r="C26" s="45">
        <f>SUM(C18:C25)</f>
        <v/>
      </c>
      <c r="D26" s="46">
        <f>SUM(D18:D25)</f>
        <v/>
      </c>
      <c r="E26" s="47">
        <f>SUMPRODUCT(C18:C25,E18:E25)/SUM(C18:C25)</f>
        <v/>
      </c>
      <c r="F26" s="45">
        <f>SUM(F18:F25)</f>
        <v/>
      </c>
      <c r="G26" s="46">
        <f>SUM(G18:G25)</f>
        <v/>
      </c>
      <c r="H26" s="47">
        <f>SUMPRODUCT(F18:F25,H18:H25)/SUM(F18:F25)</f>
        <v/>
      </c>
      <c r="I26" s="69">
        <f>F26-C26</f>
        <v/>
      </c>
      <c r="J26" s="70">
        <f>(F26-C26)/C26</f>
        <v/>
      </c>
      <c r="K26" s="71">
        <f>G26-D26</f>
        <v/>
      </c>
      <c r="L26" s="70">
        <f>(G26-D26)/D26</f>
        <v/>
      </c>
    </row>
    <row r="28" ht="36" customHeight="1" s="18">
      <c r="A28" s="72" t="inlineStr">
        <is>
          <t>KEY INSIGHT: Under D180 window, ALL $10M is deployable (vs $5.975M under D30). Full $10M yields 655,099 installs vs 350,379 — an 87% increase. Moloco, Facebook &amp; TikTok see the largest budget increases due to superior long-term ARPU growth.</t>
        </is>
      </c>
    </row>
  </sheetData>
  <mergeCells count="5">
    <mergeCell ref="A16:L16"/>
    <mergeCell ref="A14:J14"/>
    <mergeCell ref="A1:L1"/>
    <mergeCell ref="A3:J3"/>
    <mergeCell ref="A28:L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8" customWidth="1" style="18" min="1" max="1"/>
    <col width="14" customWidth="1" style="18" min="2" max="2"/>
    <col width="11" customWidth="1" style="18" min="3" max="3"/>
    <col width="11" customWidth="1" style="18" min="4" max="4"/>
    <col width="11" customWidth="1" style="18" min="5" max="5"/>
    <col width="9" customWidth="1" style="18" min="6" max="6"/>
    <col width="10" customWidth="1" style="18" min="7" max="7"/>
    <col width="11" customWidth="1" style="18" min="8" max="8"/>
    <col width="10" customWidth="1" style="18" min="9" max="9"/>
    <col width="11" customWidth="1" style="18" min="10" max="10"/>
    <col width="10" customWidth="1" style="18" min="11" max="11"/>
    <col width="10" customWidth="1" style="18" min="12" max="12"/>
    <col width="10" customWidth="1" style="18" min="13" max="13"/>
    <col width="10" customWidth="1" style="18" min="14" max="14"/>
  </cols>
  <sheetData>
    <row r="1" ht="28" customHeight="1" s="18">
      <c r="A1" s="73" t="inlineStr">
        <is>
          <t>Question 3a — Creative Performance Analysis | Weekly Metrics &amp; Trends</t>
        </is>
      </c>
    </row>
    <row r="3" ht="18" customHeight="1" s="18">
      <c r="A3" s="55" t="inlineStr">
        <is>
          <t>SECTION 1 — Weekly Aggregated Metrics (All Ads Combined)</t>
        </is>
      </c>
    </row>
    <row r="4" ht="18" customHeight="1" s="18">
      <c r="A4" s="56" t="inlineStr">
        <is>
          <t>Week</t>
        </is>
      </c>
      <c r="B4" s="56" t="inlineStr">
        <is>
          <t>Date Range</t>
        </is>
      </c>
      <c r="C4" s="56" t="inlineStr">
        <is>
          <t>Impressions</t>
        </is>
      </c>
      <c r="D4" s="56" t="inlineStr">
        <is>
          <t>Cost ($)</t>
        </is>
      </c>
      <c r="E4" s="56" t="inlineStr">
        <is>
          <t>Clicks</t>
        </is>
      </c>
      <c r="F4" s="56" t="inlineStr">
        <is>
          <t>Installs</t>
        </is>
      </c>
      <c r="G4" s="56" t="inlineStr">
        <is>
          <t>CTR</t>
        </is>
      </c>
      <c r="H4" s="56" t="inlineStr">
        <is>
          <t>CTI (Click→Install)</t>
        </is>
      </c>
      <c r="I4" s="56" t="inlineStr">
        <is>
          <t>CVR (Imp→Install)</t>
        </is>
      </c>
      <c r="J4" s="56" t="inlineStr">
        <is>
          <t>CPI ($)</t>
        </is>
      </c>
      <c r="K4" s="56" t="inlineStr">
        <is>
          <t>CPC ($)</t>
        </is>
      </c>
      <c r="L4" s="56" t="inlineStr">
        <is>
          <t>CPM ($)</t>
        </is>
      </c>
      <c r="M4" s="56" t="inlineStr">
        <is>
          <t>CTR WoW</t>
        </is>
      </c>
      <c r="N4" s="56" t="inlineStr">
        <is>
          <t>CTI WoW</t>
        </is>
      </c>
    </row>
    <row r="5" ht="18" customHeight="1" s="18">
      <c r="A5" s="74" t="inlineStr">
        <is>
          <t>W1</t>
        </is>
      </c>
      <c r="B5" s="75" t="inlineStr">
        <is>
          <t>Oct 13–19</t>
        </is>
      </c>
      <c r="C5" s="31" t="n">
        <v>7721143</v>
      </c>
      <c r="D5" s="30" t="n">
        <v>71659.24000000001</v>
      </c>
      <c r="E5" s="31" t="n">
        <v>80370</v>
      </c>
      <c r="F5" s="31" t="n">
        <v>4166</v>
      </c>
      <c r="G5" s="76" t="n">
        <v>0.010409</v>
      </c>
      <c r="H5" s="77" t="n">
        <v>0.051835</v>
      </c>
      <c r="I5" s="78" t="n">
        <v>0.00054</v>
      </c>
      <c r="J5" s="30" t="n">
        <v>17.2</v>
      </c>
      <c r="K5" s="79" t="n">
        <v>0.8915999999999999</v>
      </c>
      <c r="L5" s="30" t="n">
        <v>9.279999999999999</v>
      </c>
      <c r="M5" s="80" t="inlineStr">
        <is>
          <t>Base</t>
        </is>
      </c>
      <c r="N5" s="80" t="inlineStr">
        <is>
          <t>Base</t>
        </is>
      </c>
    </row>
    <row r="6" ht="18" customHeight="1" s="18">
      <c r="A6" s="81" t="inlineStr">
        <is>
          <t>W2</t>
        </is>
      </c>
      <c r="B6" s="80" t="inlineStr">
        <is>
          <t>Oct 20–26</t>
        </is>
      </c>
      <c r="C6" s="40" t="n">
        <v>8258530</v>
      </c>
      <c r="D6" s="39" t="n">
        <v>76680.14</v>
      </c>
      <c r="E6" s="40" t="n">
        <v>91440</v>
      </c>
      <c r="F6" s="40" t="n">
        <v>4438</v>
      </c>
      <c r="G6" s="76" t="n">
        <v>0.011072</v>
      </c>
      <c r="H6" s="76" t="n">
        <v>0.048535</v>
      </c>
      <c r="I6" s="82" t="n">
        <v>0.000537</v>
      </c>
      <c r="J6" s="39" t="n">
        <v>17.28</v>
      </c>
      <c r="K6" s="83" t="n">
        <v>0.8386</v>
      </c>
      <c r="L6" s="39" t="n">
        <v>9.279999999999999</v>
      </c>
      <c r="M6" s="84" t="n">
        <v>0.06419999999999999</v>
      </c>
      <c r="N6" s="85" t="n">
        <v>-0.0638</v>
      </c>
    </row>
    <row r="7" ht="18" customHeight="1" s="18">
      <c r="A7" s="74" t="inlineStr">
        <is>
          <t>W3</t>
        </is>
      </c>
      <c r="B7" s="75" t="inlineStr">
        <is>
          <t>Oct 27–Nov 2</t>
        </is>
      </c>
      <c r="C7" s="31" t="n">
        <v>8206837</v>
      </c>
      <c r="D7" s="30" t="n">
        <v>77967.56</v>
      </c>
      <c r="E7" s="31" t="n">
        <v>79275</v>
      </c>
      <c r="F7" s="31" t="n">
        <v>4650</v>
      </c>
      <c r="G7" s="86" t="n">
        <v>0.00966</v>
      </c>
      <c r="H7" s="77" t="n">
        <v>0.058657</v>
      </c>
      <c r="I7" s="78" t="n">
        <v>0.000567</v>
      </c>
      <c r="J7" s="30" t="n">
        <v>16.77</v>
      </c>
      <c r="K7" s="79" t="n">
        <v>0.9835</v>
      </c>
      <c r="L7" s="30" t="n">
        <v>9.5</v>
      </c>
      <c r="M7" s="85" t="n">
        <v>-0.1278</v>
      </c>
      <c r="N7" s="84" t="n">
        <v>0.209</v>
      </c>
    </row>
    <row r="8" ht="18" customHeight="1" s="18">
      <c r="A8" s="81" t="inlineStr">
        <is>
          <t>W4</t>
        </is>
      </c>
      <c r="B8" s="80" t="inlineStr">
        <is>
          <t>Nov 3–9</t>
        </is>
      </c>
      <c r="C8" s="40" t="n">
        <v>8754858</v>
      </c>
      <c r="D8" s="39" t="n">
        <v>77992.61</v>
      </c>
      <c r="E8" s="40" t="n">
        <v>131045</v>
      </c>
      <c r="F8" s="40" t="n">
        <v>3867</v>
      </c>
      <c r="G8" s="77" t="n">
        <v>0.014968</v>
      </c>
      <c r="H8" s="86" t="n">
        <v>0.029509</v>
      </c>
      <c r="I8" s="82" t="n">
        <v>0.000442</v>
      </c>
      <c r="J8" s="39" t="n">
        <v>20.17</v>
      </c>
      <c r="K8" s="83" t="n">
        <v>0.5952</v>
      </c>
      <c r="L8" s="39" t="n">
        <v>8.91</v>
      </c>
      <c r="M8" s="84" t="n">
        <v>0.5495</v>
      </c>
      <c r="N8" s="85" t="n">
        <v>-0.497</v>
      </c>
    </row>
    <row r="9" ht="18" customHeight="1" s="18">
      <c r="A9" s="74" t="inlineStr">
        <is>
          <t>W5</t>
        </is>
      </c>
      <c r="B9" s="75" t="inlineStr">
        <is>
          <t>Nov 10–16</t>
        </is>
      </c>
      <c r="C9" s="31" t="n">
        <v>8194592</v>
      </c>
      <c r="D9" s="30" t="n">
        <v>73275.82000000001</v>
      </c>
      <c r="E9" s="31" t="n">
        <v>145414</v>
      </c>
      <c r="F9" s="31" t="n">
        <v>3646</v>
      </c>
      <c r="G9" s="77" t="n">
        <v>0.017745</v>
      </c>
      <c r="H9" s="86" t="n">
        <v>0.025073</v>
      </c>
      <c r="I9" s="78" t="n">
        <v>0.000445</v>
      </c>
      <c r="J9" s="30" t="n">
        <v>20.1</v>
      </c>
      <c r="K9" s="79" t="n">
        <v>0.5039</v>
      </c>
      <c r="L9" s="30" t="n">
        <v>8.94</v>
      </c>
      <c r="M9" s="84" t="n">
        <v>0.186</v>
      </c>
      <c r="N9" s="85" t="n">
        <v>-0.1502</v>
      </c>
    </row>
    <row r="10" ht="18" customHeight="1" s="18">
      <c r="A10" s="81" t="inlineStr">
        <is>
          <t>W6</t>
        </is>
      </c>
      <c r="B10" s="80" t="inlineStr">
        <is>
          <t>Nov 17–23</t>
        </is>
      </c>
      <c r="C10" s="40" t="n">
        <v>7691461</v>
      </c>
      <c r="D10" s="39" t="n">
        <v>70181.19</v>
      </c>
      <c r="E10" s="40" t="n">
        <v>133565</v>
      </c>
      <c r="F10" s="40" t="n">
        <v>3285</v>
      </c>
      <c r="G10" s="77" t="n">
        <v>0.017365</v>
      </c>
      <c r="H10" s="86" t="n">
        <v>0.024595</v>
      </c>
      <c r="I10" s="82" t="n">
        <v>0.000427</v>
      </c>
      <c r="J10" s="39" t="n">
        <v>21.36</v>
      </c>
      <c r="K10" s="83" t="n">
        <v>0.5254</v>
      </c>
      <c r="L10" s="39" t="n">
        <v>9.119999999999999</v>
      </c>
      <c r="M10" s="85" t="n">
        <v>-0.0214</v>
      </c>
      <c r="N10" s="85" t="n">
        <v>-0.019</v>
      </c>
    </row>
    <row r="11" ht="18" customHeight="1" s="18">
      <c r="A11" s="87" t="inlineStr">
        <is>
          <t>TOTAL</t>
        </is>
      </c>
      <c r="B11" s="44" t="n"/>
      <c r="C11" s="46">
        <f>SUM(C5:C10)</f>
        <v/>
      </c>
      <c r="D11" s="88">
        <f>SUM(D5:D10)</f>
        <v/>
      </c>
      <c r="E11" s="46">
        <f>SUM(E5:E10)</f>
        <v/>
      </c>
      <c r="F11" s="46">
        <f>SUM(F5:F10)</f>
        <v/>
      </c>
      <c r="G11" s="89">
        <f>E11/C11</f>
        <v/>
      </c>
      <c r="H11" s="89">
        <f>F11/E11</f>
        <v/>
      </c>
      <c r="I11" s="90">
        <f>F11/C11</f>
        <v/>
      </c>
      <c r="J11" s="88">
        <f>D11/F11</f>
        <v/>
      </c>
      <c r="K11" s="91">
        <f>D11/E11</f>
        <v/>
      </c>
      <c r="L11" s="88">
        <f>D11/C11*1000</f>
        <v/>
      </c>
      <c r="M11" s="44" t="n"/>
      <c r="N11" s="44" t="n"/>
    </row>
    <row r="12" ht="18" customHeight="1" s="18"/>
    <row r="13" ht="18" customHeight="1" s="18">
      <c r="A13" s="55" t="inlineStr">
        <is>
          <t>SECTION 2 — Performance by Ad Creative (Full Period)</t>
        </is>
      </c>
    </row>
    <row r="14" ht="28" customHeight="1" s="18">
      <c r="A14" s="56" t="inlineStr">
        <is>
          <t>Ad</t>
        </is>
      </c>
      <c r="B14" s="56" t="inlineStr">
        <is>
          <t>Impressions</t>
        </is>
      </c>
      <c r="C14" s="56" t="inlineStr">
        <is>
          <t>Cost ($)</t>
        </is>
      </c>
      <c r="D14" s="56" t="inlineStr">
        <is>
          <t>Clicks</t>
        </is>
      </c>
      <c r="E14" s="56" t="inlineStr">
        <is>
          <t>Installs</t>
        </is>
      </c>
      <c r="F14" s="56" t="inlineStr">
        <is>
          <t>CTR</t>
        </is>
      </c>
      <c r="G14" s="56" t="inlineStr">
        <is>
          <t>CTI</t>
        </is>
      </c>
      <c r="H14" s="56" t="inlineStr">
        <is>
          <t>CVR</t>
        </is>
      </c>
      <c r="I14" s="56" t="inlineStr">
        <is>
          <t>CPI ($)</t>
        </is>
      </c>
      <c r="J14" s="56" t="inlineStr">
        <is>
          <t>Assessment</t>
        </is>
      </c>
    </row>
    <row r="15">
      <c r="A15" s="74" t="inlineStr">
        <is>
          <t>Ad A</t>
        </is>
      </c>
      <c r="B15" s="31" t="n">
        <v>1527577</v>
      </c>
      <c r="C15" s="30" t="n">
        <v>18528.83</v>
      </c>
      <c r="D15" s="31" t="n">
        <v>10515</v>
      </c>
      <c r="E15" s="31" t="n">
        <v>989</v>
      </c>
      <c r="F15" s="86" t="n">
        <v>0.006883</v>
      </c>
      <c r="G15" s="92" t="n">
        <v>0.094056</v>
      </c>
      <c r="H15" s="78" t="n">
        <v>0.000647</v>
      </c>
      <c r="I15" s="30" t="n">
        <v>18.73</v>
      </c>
      <c r="J15" s="93" t="inlineStr">
        <is>
          <t>Low CTR, very high CTI</t>
        </is>
      </c>
    </row>
    <row r="16">
      <c r="A16" s="81" t="inlineStr">
        <is>
          <t>Ad B</t>
        </is>
      </c>
      <c r="B16" s="40" t="n">
        <v>502356</v>
      </c>
      <c r="C16" s="39" t="n">
        <v>5620.65</v>
      </c>
      <c r="D16" s="40" t="n">
        <v>3875</v>
      </c>
      <c r="E16" s="40" t="n">
        <v>271</v>
      </c>
      <c r="F16" s="76" t="n">
        <v>0.007714</v>
      </c>
      <c r="G16" s="76" t="n">
        <v>0.069935</v>
      </c>
      <c r="H16" s="82" t="n">
        <v>0.000539</v>
      </c>
      <c r="I16" s="39" t="n">
        <v>20.74</v>
      </c>
      <c r="J16" s="93" t="inlineStr">
        <is>
          <t>Low CTR, strong CTI</t>
        </is>
      </c>
    </row>
    <row r="17">
      <c r="A17" s="74" t="inlineStr">
        <is>
          <t>Ad C</t>
        </is>
      </c>
      <c r="B17" s="31" t="n">
        <v>397669</v>
      </c>
      <c r="C17" s="30" t="n">
        <v>5711.79</v>
      </c>
      <c r="D17" s="31" t="n">
        <v>4295</v>
      </c>
      <c r="E17" s="31" t="n">
        <v>165</v>
      </c>
      <c r="F17" s="94" t="n">
        <v>0.0108</v>
      </c>
      <c r="G17" s="94" t="n">
        <v>0.038417</v>
      </c>
      <c r="H17" s="78" t="n">
        <v>0.000415</v>
      </c>
      <c r="I17" s="95" t="n">
        <v>34.62</v>
      </c>
      <c r="J17" s="93" t="inlineStr">
        <is>
          <t>High CPI, low CTI</t>
        </is>
      </c>
    </row>
    <row r="18">
      <c r="A18" s="81" t="inlineStr">
        <is>
          <t>Ad D</t>
        </is>
      </c>
      <c r="B18" s="40" t="n">
        <v>10633191</v>
      </c>
      <c r="C18" s="39" t="n">
        <v>101618.95</v>
      </c>
      <c r="D18" s="40" t="n">
        <v>270430</v>
      </c>
      <c r="E18" s="40" t="n">
        <v>3744</v>
      </c>
      <c r="F18" s="92" t="n">
        <v>0.025433</v>
      </c>
      <c r="G18" s="86" t="n">
        <v>0.013845</v>
      </c>
      <c r="H18" s="82" t="n">
        <v>0.000352</v>
      </c>
      <c r="I18" s="95" t="n">
        <v>27.14</v>
      </c>
      <c r="J18" s="93" t="inlineStr">
        <is>
          <t>High CTR, very low CTI</t>
        </is>
      </c>
    </row>
    <row r="19">
      <c r="A19" s="74" t="inlineStr">
        <is>
          <t>Ad E</t>
        </is>
      </c>
      <c r="B19" s="31" t="n">
        <v>7000214</v>
      </c>
      <c r="C19" s="30" t="n">
        <v>70174.16</v>
      </c>
      <c r="D19" s="31" t="n">
        <v>70620</v>
      </c>
      <c r="E19" s="31" t="n">
        <v>3933</v>
      </c>
      <c r="F19" s="94" t="n">
        <v>0.010088</v>
      </c>
      <c r="G19" s="94" t="n">
        <v>0.055692</v>
      </c>
      <c r="H19" s="78" t="n">
        <v>0.000562</v>
      </c>
      <c r="I19" s="96" t="n">
        <v>17.84</v>
      </c>
      <c r="J19" s="93" t="inlineStr">
        <is>
          <t>Balanced — best CVR</t>
        </is>
      </c>
    </row>
    <row r="20">
      <c r="A20" s="81" t="inlineStr">
        <is>
          <t>Ad F</t>
        </is>
      </c>
      <c r="B20" s="40" t="n">
        <v>23972577</v>
      </c>
      <c r="C20" s="39" t="n">
        <v>194401.39</v>
      </c>
      <c r="D20" s="40" t="n">
        <v>268259</v>
      </c>
      <c r="E20" s="40" t="n">
        <v>12638</v>
      </c>
      <c r="F20" s="76" t="n">
        <v>0.01119</v>
      </c>
      <c r="G20" s="76" t="n">
        <v>0.047111</v>
      </c>
      <c r="H20" s="82" t="n">
        <v>0.000527</v>
      </c>
      <c r="I20" s="96" t="n">
        <v>15.38</v>
      </c>
      <c r="J20" s="93" t="inlineStr">
        <is>
          <t>Best installs, lowest CPI</t>
        </is>
      </c>
    </row>
    <row r="21">
      <c r="A21" s="74" t="inlineStr">
        <is>
          <t>Ad G</t>
        </is>
      </c>
      <c r="B21" s="31" t="n">
        <v>1578830</v>
      </c>
      <c r="C21" s="30" t="n">
        <v>16170.03</v>
      </c>
      <c r="D21" s="31" t="n">
        <v>16386</v>
      </c>
      <c r="E21" s="31" t="n">
        <v>816</v>
      </c>
      <c r="F21" s="94" t="n">
        <v>0.010379</v>
      </c>
      <c r="G21" s="94" t="n">
        <v>0.049799</v>
      </c>
      <c r="H21" s="78" t="n">
        <v>0.000517</v>
      </c>
      <c r="I21" s="30" t="n">
        <v>19.82</v>
      </c>
      <c r="J21" s="93" t="inlineStr">
        <is>
          <t>Solid, mid-tier</t>
        </is>
      </c>
    </row>
    <row r="22">
      <c r="A22" s="81" t="inlineStr">
        <is>
          <t>Ad H</t>
        </is>
      </c>
      <c r="B22" s="40" t="n">
        <v>3215007</v>
      </c>
      <c r="C22" s="39" t="n">
        <v>35530.76</v>
      </c>
      <c r="D22" s="40" t="n">
        <v>16729</v>
      </c>
      <c r="E22" s="40" t="n">
        <v>1496</v>
      </c>
      <c r="F22" s="86" t="n">
        <v>0.005203</v>
      </c>
      <c r="G22" s="92" t="n">
        <v>0.08942600000000001</v>
      </c>
      <c r="H22" s="82" t="n">
        <v>0.000465</v>
      </c>
      <c r="I22" s="39" t="n">
        <v>23.75</v>
      </c>
      <c r="J22" s="93" t="inlineStr">
        <is>
          <t>Low CTR, strong CTI</t>
        </is>
      </c>
    </row>
  </sheetData>
  <mergeCells count="3">
    <mergeCell ref="A3:N3"/>
    <mergeCell ref="A13:J1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3:I12"/>
  <sheetViews>
    <sheetView showGridLines="0" workbookViewId="0">
      <selection activeCell="A1" sqref="A1"/>
    </sheetView>
  </sheetViews>
  <sheetFormatPr baseColWidth="8" defaultColWidth="12.63" defaultRowHeight="15.75" customHeight="1"/>
  <sheetData>
    <row r="3">
      <c r="B3" s="11" t="inlineStr">
        <is>
          <t>Dream Games - New Puzzle Game Network Metrics</t>
        </is>
      </c>
      <c r="C3" s="53" t="n"/>
      <c r="D3" s="53" t="n"/>
      <c r="E3" s="54" t="n"/>
      <c r="F3" s="4" t="n"/>
      <c r="G3" s="4" t="n"/>
      <c r="H3" s="4" t="n"/>
    </row>
    <row r="4">
      <c r="B4" s="11" t="inlineStr">
        <is>
          <t>Network</t>
        </is>
      </c>
      <c r="C4" s="11" t="inlineStr">
        <is>
          <t>Total Budget</t>
        </is>
      </c>
      <c r="D4" s="11" t="inlineStr">
        <is>
          <t>CPI</t>
        </is>
      </c>
      <c r="E4" s="11" t="inlineStr">
        <is>
          <t>D1 ARPU</t>
        </is>
      </c>
      <c r="F4" s="11" t="inlineStr">
        <is>
          <t>D7 ARPU</t>
        </is>
      </c>
      <c r="G4" s="11" t="inlineStr">
        <is>
          <t>D15 ARPU</t>
        </is>
      </c>
      <c r="H4" s="11" t="inlineStr">
        <is>
          <t>D30 ARPU</t>
        </is>
      </c>
    </row>
    <row r="5">
      <c r="B5" s="12" t="inlineStr">
        <is>
          <t>Applovin</t>
        </is>
      </c>
      <c r="C5" s="13" t="n">
        <v>100000</v>
      </c>
      <c r="D5" s="14" t="n">
        <v>7</v>
      </c>
      <c r="E5" s="14" t="n">
        <v>1.2</v>
      </c>
      <c r="F5" s="14" t="n">
        <v>9.1</v>
      </c>
      <c r="G5" s="14" t="n">
        <v>20.1</v>
      </c>
      <c r="H5" s="14" t="n">
        <v>40</v>
      </c>
      <c r="I5" s="9" t="n"/>
    </row>
    <row r="6">
      <c r="B6" s="12" t="inlineStr">
        <is>
          <t>Unity</t>
        </is>
      </c>
      <c r="C6" s="13" t="n">
        <v>100000</v>
      </c>
      <c r="D6" s="14" t="n">
        <v>2.5</v>
      </c>
      <c r="E6" s="14" t="n">
        <v>0.2</v>
      </c>
      <c r="F6" s="14" t="n">
        <v>1.8</v>
      </c>
      <c r="G6" s="14" t="n">
        <v>4</v>
      </c>
      <c r="H6" s="14" t="n">
        <v>8</v>
      </c>
      <c r="I6" s="9" t="n"/>
    </row>
    <row r="7">
      <c r="B7" s="12" t="inlineStr">
        <is>
          <t>Mintegral</t>
        </is>
      </c>
      <c r="C7" s="13" t="n">
        <v>100000</v>
      </c>
      <c r="D7" s="14" t="n">
        <v>4</v>
      </c>
      <c r="E7" s="14" t="n">
        <v>0.3</v>
      </c>
      <c r="F7" s="14" t="n">
        <v>1.9</v>
      </c>
      <c r="G7" s="14" t="n">
        <v>3.7</v>
      </c>
      <c r="H7" s="14" t="n">
        <v>7</v>
      </c>
      <c r="I7" s="9" t="n"/>
    </row>
    <row r="8">
      <c r="B8" s="12" t="inlineStr">
        <is>
          <t>Liftoff</t>
        </is>
      </c>
      <c r="C8" s="13" t="n">
        <v>100000</v>
      </c>
      <c r="D8" s="14" t="n">
        <v>4</v>
      </c>
      <c r="E8" s="14" t="n">
        <v>0.3</v>
      </c>
      <c r="F8" s="14" t="n">
        <v>2.4</v>
      </c>
      <c r="G8" s="14" t="n">
        <v>5.1</v>
      </c>
      <c r="H8" s="14" t="n">
        <v>10</v>
      </c>
      <c r="I8" s="9" t="n"/>
    </row>
    <row r="9">
      <c r="B9" s="12" t="inlineStr">
        <is>
          <t>Moloco</t>
        </is>
      </c>
      <c r="C9" s="13" t="n">
        <v>100000</v>
      </c>
      <c r="D9" s="14" t="n">
        <v>6</v>
      </c>
      <c r="E9" s="14" t="n">
        <v>0.8</v>
      </c>
      <c r="F9" s="14" t="n">
        <v>6</v>
      </c>
      <c r="G9" s="14" t="n">
        <v>14.3</v>
      </c>
      <c r="H9" s="14" t="n">
        <v>30</v>
      </c>
      <c r="I9" s="9" t="n"/>
    </row>
    <row r="10">
      <c r="B10" s="12" t="inlineStr">
        <is>
          <t>Facebook</t>
        </is>
      </c>
      <c r="C10" s="13" t="n">
        <v>100000</v>
      </c>
      <c r="D10" s="14" t="n">
        <v>5</v>
      </c>
      <c r="E10" s="14" t="n">
        <v>1.6</v>
      </c>
      <c r="F10" s="14" t="n">
        <v>9.699999999999999</v>
      </c>
      <c r="G10" s="14" t="n">
        <v>19.4</v>
      </c>
      <c r="H10" s="14" t="n">
        <v>35</v>
      </c>
      <c r="I10" s="9" t="n"/>
    </row>
    <row r="11">
      <c r="B11" s="12" t="inlineStr">
        <is>
          <t>TikTok</t>
        </is>
      </c>
      <c r="C11" s="13" t="n">
        <v>100000</v>
      </c>
      <c r="D11" s="14" t="n">
        <v>5</v>
      </c>
      <c r="E11" s="14" t="n">
        <v>0.8</v>
      </c>
      <c r="F11" s="14" t="n">
        <v>4.8</v>
      </c>
      <c r="G11" s="14" t="n">
        <v>8.6</v>
      </c>
      <c r="H11" s="14" t="n">
        <v>15</v>
      </c>
      <c r="I11" s="9" t="n"/>
    </row>
    <row r="12">
      <c r="B12" s="12" t="inlineStr">
        <is>
          <t>Google UAC</t>
        </is>
      </c>
      <c r="C12" s="13" t="n">
        <v>100000</v>
      </c>
      <c r="D12" s="14" t="n">
        <v>3</v>
      </c>
      <c r="E12" s="14" t="n">
        <v>1</v>
      </c>
      <c r="F12" s="14" t="n">
        <v>6.9</v>
      </c>
      <c r="G12" s="14" t="n">
        <v>13.3</v>
      </c>
      <c r="H12" s="14" t="n">
        <v>25</v>
      </c>
      <c r="I12" s="9" t="n"/>
    </row>
  </sheetData>
  <mergeCells count="1"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3:J12"/>
  <sheetViews>
    <sheetView showGridLines="0" workbookViewId="0">
      <selection activeCell="A1" sqref="A1"/>
    </sheetView>
  </sheetViews>
  <sheetFormatPr baseColWidth="8" defaultColWidth="12.63" defaultRowHeight="15.75" customHeight="1"/>
  <sheetData>
    <row r="3">
      <c r="B3" s="11" t="inlineStr">
        <is>
          <t>Dream Games - New Puzzle Game Network Metrics</t>
        </is>
      </c>
      <c r="C3" s="53" t="n"/>
      <c r="D3" s="53" t="n"/>
      <c r="E3" s="54" t="n"/>
      <c r="F3" s="4" t="n"/>
      <c r="G3" s="4" t="n"/>
      <c r="H3" s="4" t="n"/>
    </row>
    <row r="4">
      <c r="B4" s="11" t="inlineStr">
        <is>
          <t>Network</t>
        </is>
      </c>
      <c r="C4" s="11" t="inlineStr">
        <is>
          <t>Total Budget</t>
        </is>
      </c>
      <c r="D4" s="11" t="inlineStr">
        <is>
          <t>CPI</t>
        </is>
      </c>
      <c r="E4" s="11" t="inlineStr">
        <is>
          <t>D1 ARPU</t>
        </is>
      </c>
      <c r="F4" s="11" t="inlineStr">
        <is>
          <t>D7 ARPU</t>
        </is>
      </c>
      <c r="G4" s="11" t="inlineStr">
        <is>
          <t>D15 ARPU</t>
        </is>
      </c>
      <c r="H4" s="11" t="inlineStr">
        <is>
          <t>D30 ARPU</t>
        </is>
      </c>
      <c r="I4" s="11" t="inlineStr">
        <is>
          <t>D60 ARPU</t>
        </is>
      </c>
      <c r="J4" s="11" t="inlineStr">
        <is>
          <t>D90 ARPU</t>
        </is>
      </c>
    </row>
    <row r="5">
      <c r="B5" s="12" t="inlineStr">
        <is>
          <t>Applovin</t>
        </is>
      </c>
      <c r="C5" s="13" t="n">
        <v>100000</v>
      </c>
      <c r="D5" s="14" t="n">
        <v>7</v>
      </c>
      <c r="E5" s="14" t="n">
        <v>1.2453300124533</v>
      </c>
      <c r="F5" s="14" t="n">
        <v>9.09090909090909</v>
      </c>
      <c r="G5" s="14" t="n">
        <v>20.10050251256282</v>
      </c>
      <c r="H5" s="14" t="n">
        <v>40</v>
      </c>
      <c r="I5" s="14" t="n">
        <v>75.29300788942514</v>
      </c>
      <c r="J5" s="14" t="n">
        <v>100.7</v>
      </c>
    </row>
    <row r="6">
      <c r="B6" s="12" t="inlineStr">
        <is>
          <t>Unity</t>
        </is>
      </c>
      <c r="C6" s="13" t="n">
        <v>100000</v>
      </c>
      <c r="D6" s="14" t="n">
        <v>2.5</v>
      </c>
      <c r="E6" s="14" t="n">
        <v>0.2106815548298746</v>
      </c>
      <c r="F6" s="14" t="n">
        <v>1.818181818181818</v>
      </c>
      <c r="G6" s="14" t="n">
        <v>4</v>
      </c>
      <c r="H6" s="14" t="n">
        <v>8</v>
      </c>
      <c r="I6" s="14" t="n">
        <v>15.2</v>
      </c>
      <c r="J6" s="14" t="n">
        <v>19.38</v>
      </c>
    </row>
    <row r="7">
      <c r="B7" s="12" t="inlineStr">
        <is>
          <t>Mintegral</t>
        </is>
      </c>
      <c r="C7" s="13" t="n">
        <v>100000</v>
      </c>
      <c r="D7" s="14" t="n">
        <v>4</v>
      </c>
      <c r="E7" s="14" t="n">
        <v>0.3240740740740741</v>
      </c>
      <c r="F7" s="14" t="n">
        <v>1.944444444444444</v>
      </c>
      <c r="G7" s="14" t="n">
        <v>3.68421052631579</v>
      </c>
      <c r="H7" s="14" t="n">
        <v>7</v>
      </c>
      <c r="I7" s="14" t="n">
        <v>13.18281709903717</v>
      </c>
      <c r="J7" s="14" t="n">
        <v>18.62</v>
      </c>
    </row>
    <row r="8">
      <c r="B8" s="12" t="inlineStr">
        <is>
          <t>Liftoff</t>
        </is>
      </c>
      <c r="C8" s="13" t="n">
        <v>100000</v>
      </c>
      <c r="D8" s="14" t="n">
        <v>4</v>
      </c>
      <c r="E8" s="14" t="n">
        <v>0.320666987333654</v>
      </c>
      <c r="F8" s="14" t="n">
        <v>2.405002405002405</v>
      </c>
      <c r="G8" s="14" t="n">
        <v>5.05050505050505</v>
      </c>
      <c r="H8" s="14" t="n">
        <v>10</v>
      </c>
      <c r="I8" s="14" t="n">
        <v>18.46468100034345</v>
      </c>
      <c r="J8" s="14" t="n">
        <v>24.225</v>
      </c>
    </row>
    <row r="9">
      <c r="B9" s="12" t="inlineStr">
        <is>
          <t>Moloco</t>
        </is>
      </c>
      <c r="C9" s="13" t="n">
        <v>100000</v>
      </c>
      <c r="D9" s="14" t="n">
        <v>6</v>
      </c>
      <c r="E9" s="14" t="n">
        <v>0.7692307692307693</v>
      </c>
      <c r="F9" s="14" t="n">
        <v>6</v>
      </c>
      <c r="G9" s="14" t="n">
        <v>14.28571428571428</v>
      </c>
      <c r="H9" s="14" t="n">
        <v>30</v>
      </c>
      <c r="I9" s="14" t="n">
        <v>61.07645481962204</v>
      </c>
      <c r="J9" s="14" t="n">
        <v>91.2</v>
      </c>
    </row>
    <row r="10">
      <c r="B10" s="12" t="inlineStr">
        <is>
          <t>Facebook</t>
        </is>
      </c>
      <c r="C10" s="13" t="n">
        <v>100000</v>
      </c>
      <c r="D10" s="14" t="n">
        <v>5</v>
      </c>
      <c r="E10" s="14" t="n">
        <v>1.62037037037037</v>
      </c>
      <c r="F10" s="14" t="n">
        <v>9.722222222222221</v>
      </c>
      <c r="G10" s="14" t="n">
        <v>19.44444444444444</v>
      </c>
      <c r="H10" s="14" t="n">
        <v>35</v>
      </c>
      <c r="I10" s="14" t="n">
        <v>61.7679084137056</v>
      </c>
      <c r="J10" s="14" t="n">
        <v>73.15000000000001</v>
      </c>
    </row>
    <row r="11">
      <c r="B11" s="12" t="inlineStr">
        <is>
          <t>TikTok</t>
        </is>
      </c>
      <c r="C11" s="13" t="n">
        <v>100000</v>
      </c>
      <c r="D11" s="14" t="n">
        <v>5</v>
      </c>
      <c r="E11" s="14" t="n">
        <v>0.75</v>
      </c>
      <c r="F11" s="14" t="n">
        <v>4.8</v>
      </c>
      <c r="G11" s="14" t="n">
        <v>8.550000000000001</v>
      </c>
      <c r="H11" s="14" t="n">
        <v>15</v>
      </c>
      <c r="I11" s="14" t="n">
        <v>25.72612161468054</v>
      </c>
      <c r="J11" s="14" t="n">
        <v>31.35</v>
      </c>
    </row>
    <row r="12">
      <c r="B12" s="12" t="inlineStr">
        <is>
          <t>Google UAC</t>
        </is>
      </c>
      <c r="C12" s="13" t="n">
        <v>100000</v>
      </c>
      <c r="D12" s="14" t="n">
        <v>3</v>
      </c>
      <c r="E12" s="14" t="n">
        <v>0.9512937595129376</v>
      </c>
      <c r="F12" s="14" t="n">
        <v>6.944444444444445</v>
      </c>
      <c r="G12" s="14" t="n">
        <v>13.3</v>
      </c>
      <c r="H12" s="14" t="n">
        <v>25</v>
      </c>
      <c r="I12" s="14" t="n">
        <v>43.2</v>
      </c>
      <c r="J12" s="14" t="n">
        <v>54.6</v>
      </c>
    </row>
  </sheetData>
  <mergeCells count="1">
    <mergeCell ref="B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89"/>
  <sheetViews>
    <sheetView showGridLines="0" workbookViewId="0">
      <selection activeCell="A1" sqref="A1"/>
    </sheetView>
  </sheetViews>
  <sheetFormatPr baseColWidth="8" defaultColWidth="12.63" defaultRowHeight="15.75" customHeight="1"/>
  <cols>
    <col width="21.13" customWidth="1" style="18" min="1" max="1"/>
  </cols>
  <sheetData>
    <row r="1">
      <c r="A1" s="15" t="inlineStr">
        <is>
          <t>Campaign name</t>
        </is>
      </c>
      <c r="B1" s="15" t="inlineStr">
        <is>
          <t>Ad name</t>
        </is>
      </c>
      <c r="C1" s="15" t="inlineStr">
        <is>
          <t>Date</t>
        </is>
      </c>
      <c r="D1" s="15" t="inlineStr">
        <is>
          <t>Impression</t>
        </is>
      </c>
      <c r="E1" s="15" t="inlineStr">
        <is>
          <t>Cost</t>
        </is>
      </c>
      <c r="F1" s="15" t="inlineStr">
        <is>
          <t>Install</t>
        </is>
      </c>
      <c r="G1" s="15" t="inlineStr">
        <is>
          <t>Click</t>
        </is>
      </c>
    </row>
    <row r="2">
      <c r="A2" s="16" t="inlineStr">
        <is>
          <t>Campaign A</t>
        </is>
      </c>
      <c r="B2" s="16" t="inlineStr">
        <is>
          <t>Ad A</t>
        </is>
      </c>
      <c r="C2" s="17" t="n">
        <v>45943</v>
      </c>
      <c r="D2" s="16" t="n">
        <v>39092</v>
      </c>
      <c r="E2" s="16" t="n">
        <v>442.8</v>
      </c>
      <c r="F2" s="16" t="n">
        <v>17</v>
      </c>
      <c r="G2" s="16" t="n">
        <v>211</v>
      </c>
    </row>
    <row r="3">
      <c r="A3" s="16" t="inlineStr">
        <is>
          <t>Campaign A</t>
        </is>
      </c>
      <c r="B3" s="16" t="inlineStr">
        <is>
          <t>Ad A</t>
        </is>
      </c>
      <c r="C3" s="17" t="n">
        <v>45944</v>
      </c>
      <c r="D3" s="16" t="n">
        <v>37816</v>
      </c>
      <c r="E3" s="16" t="n">
        <v>403.36</v>
      </c>
      <c r="F3" s="16" t="n">
        <v>23</v>
      </c>
      <c r="G3" s="16" t="n">
        <v>224</v>
      </c>
    </row>
    <row r="4">
      <c r="A4" s="16" t="inlineStr">
        <is>
          <t>Campaign A</t>
        </is>
      </c>
      <c r="B4" s="16" t="inlineStr">
        <is>
          <t>Ad A</t>
        </is>
      </c>
      <c r="C4" s="17" t="n">
        <v>45945</v>
      </c>
      <c r="D4" s="16" t="n">
        <v>41362</v>
      </c>
      <c r="E4" s="16" t="n">
        <v>494.27</v>
      </c>
      <c r="F4" s="16" t="n">
        <v>29</v>
      </c>
      <c r="G4" s="16" t="n">
        <v>216</v>
      </c>
    </row>
    <row r="5">
      <c r="A5" s="16" t="inlineStr">
        <is>
          <t>Campaign A</t>
        </is>
      </c>
      <c r="B5" s="16" t="inlineStr">
        <is>
          <t>Ad A</t>
        </is>
      </c>
      <c r="C5" s="17" t="n">
        <v>45946</v>
      </c>
      <c r="D5" s="16" t="n">
        <v>38059</v>
      </c>
      <c r="E5" s="16" t="n">
        <v>524.25</v>
      </c>
      <c r="F5" s="16" t="n">
        <v>32</v>
      </c>
      <c r="G5" s="16" t="n">
        <v>222</v>
      </c>
    </row>
    <row r="6">
      <c r="A6" s="16" t="inlineStr">
        <is>
          <t>Campaign A</t>
        </is>
      </c>
      <c r="B6" s="16" t="inlineStr">
        <is>
          <t>Ad A</t>
        </is>
      </c>
      <c r="C6" s="17" t="n">
        <v>45947</v>
      </c>
      <c r="D6" s="16" t="n">
        <v>49518</v>
      </c>
      <c r="E6" s="16" t="n">
        <v>644.9299999999999</v>
      </c>
      <c r="F6" s="16" t="n">
        <v>39</v>
      </c>
      <c r="G6" s="16" t="n">
        <v>237</v>
      </c>
    </row>
    <row r="7">
      <c r="A7" s="16" t="inlineStr">
        <is>
          <t>Campaign A</t>
        </is>
      </c>
      <c r="B7" s="16" t="inlineStr">
        <is>
          <t>Ad A</t>
        </is>
      </c>
      <c r="C7" s="17" t="n">
        <v>45948</v>
      </c>
      <c r="D7" s="16" t="n">
        <v>48264</v>
      </c>
      <c r="E7" s="16" t="n">
        <v>631.3200000000001</v>
      </c>
      <c r="F7" s="16" t="n">
        <v>30</v>
      </c>
      <c r="G7" s="16" t="n">
        <v>270</v>
      </c>
    </row>
    <row r="8">
      <c r="A8" s="16" t="inlineStr">
        <is>
          <t>Campaign A</t>
        </is>
      </c>
      <c r="B8" s="16" t="inlineStr">
        <is>
          <t>Ad A</t>
        </is>
      </c>
      <c r="C8" s="17" t="n">
        <v>45949</v>
      </c>
      <c r="D8" s="16" t="n">
        <v>37181</v>
      </c>
      <c r="E8" s="16" t="n">
        <v>487.45</v>
      </c>
      <c r="F8" s="16" t="n">
        <v>32</v>
      </c>
      <c r="G8" s="16" t="n">
        <v>289</v>
      </c>
    </row>
    <row r="9">
      <c r="A9" s="16" t="inlineStr">
        <is>
          <t>Campaign A</t>
        </is>
      </c>
      <c r="B9" s="16" t="inlineStr">
        <is>
          <t>Ad A</t>
        </is>
      </c>
      <c r="C9" s="17" t="n">
        <v>45950</v>
      </c>
      <c r="D9" s="16" t="n">
        <v>52287</v>
      </c>
      <c r="E9" s="16" t="n">
        <v>540.39</v>
      </c>
      <c r="F9" s="16" t="n">
        <v>40</v>
      </c>
      <c r="G9" s="16" t="n">
        <v>382</v>
      </c>
    </row>
    <row r="10">
      <c r="A10" s="16" t="inlineStr">
        <is>
          <t>Campaign A</t>
        </is>
      </c>
      <c r="B10" s="16" t="inlineStr">
        <is>
          <t>Ad A</t>
        </is>
      </c>
      <c r="C10" s="17" t="n">
        <v>45951</v>
      </c>
      <c r="D10" s="16" t="n">
        <v>74037</v>
      </c>
      <c r="E10" s="16" t="n">
        <v>682.9299999999999</v>
      </c>
      <c r="F10" s="16" t="n">
        <v>26</v>
      </c>
      <c r="G10" s="16" t="n">
        <v>508</v>
      </c>
    </row>
    <row r="11">
      <c r="A11" s="16" t="inlineStr">
        <is>
          <t>Campaign A</t>
        </is>
      </c>
      <c r="B11" s="16" t="inlineStr">
        <is>
          <t>Ad A</t>
        </is>
      </c>
      <c r="C11" s="17" t="n">
        <v>45952</v>
      </c>
      <c r="D11" s="16" t="n">
        <v>67095</v>
      </c>
      <c r="E11" s="16" t="n">
        <v>714.61</v>
      </c>
      <c r="F11" s="16" t="n">
        <v>43</v>
      </c>
      <c r="G11" s="16" t="n">
        <v>485</v>
      </c>
    </row>
    <row r="12">
      <c r="A12" s="16" t="inlineStr">
        <is>
          <t>Campaign A</t>
        </is>
      </c>
      <c r="B12" s="16" t="inlineStr">
        <is>
          <t>Ad A</t>
        </is>
      </c>
      <c r="C12" s="17" t="n">
        <v>45953</v>
      </c>
      <c r="D12" s="16" t="n">
        <v>75589</v>
      </c>
      <c r="E12" s="16" t="n">
        <v>838.34</v>
      </c>
      <c r="F12" s="16" t="n">
        <v>59</v>
      </c>
      <c r="G12" s="16" t="n">
        <v>517</v>
      </c>
    </row>
    <row r="13">
      <c r="A13" s="16" t="inlineStr">
        <is>
          <t>Campaign A</t>
        </is>
      </c>
      <c r="B13" s="16" t="inlineStr">
        <is>
          <t>Ad A</t>
        </is>
      </c>
      <c r="C13" s="17" t="n">
        <v>45954</v>
      </c>
      <c r="D13" s="16" t="n">
        <v>68798</v>
      </c>
      <c r="E13" s="16" t="n">
        <v>782.23</v>
      </c>
      <c r="F13" s="16" t="n">
        <v>32</v>
      </c>
      <c r="G13" s="16" t="n">
        <v>437</v>
      </c>
    </row>
    <row r="14">
      <c r="A14" s="16" t="inlineStr">
        <is>
          <t>Campaign A</t>
        </is>
      </c>
      <c r="B14" s="16" t="inlineStr">
        <is>
          <t>Ad A</t>
        </is>
      </c>
      <c r="C14" s="17" t="n">
        <v>45955</v>
      </c>
      <c r="D14" s="16" t="n">
        <v>72280</v>
      </c>
      <c r="E14" s="16" t="n">
        <v>848.1</v>
      </c>
      <c r="F14" s="16" t="n">
        <v>48</v>
      </c>
      <c r="G14" s="16" t="n">
        <v>480</v>
      </c>
    </row>
    <row r="15">
      <c r="A15" s="16" t="inlineStr">
        <is>
          <t>Campaign A</t>
        </is>
      </c>
      <c r="B15" s="16" t="inlineStr">
        <is>
          <t>Ad A</t>
        </is>
      </c>
      <c r="C15" s="17" t="n">
        <v>45956</v>
      </c>
      <c r="D15" s="16" t="n">
        <v>52273</v>
      </c>
      <c r="E15" s="16" t="n">
        <v>675.73</v>
      </c>
      <c r="F15" s="16" t="n">
        <v>44</v>
      </c>
      <c r="G15" s="16" t="n">
        <v>399</v>
      </c>
    </row>
    <row r="16">
      <c r="A16" s="16" t="inlineStr">
        <is>
          <t>Campaign A</t>
        </is>
      </c>
      <c r="B16" s="16" t="inlineStr">
        <is>
          <t>Ad A</t>
        </is>
      </c>
      <c r="C16" s="17" t="n">
        <v>45957</v>
      </c>
      <c r="D16" s="16" t="n">
        <v>62223</v>
      </c>
      <c r="E16" s="16" t="n">
        <v>733.58</v>
      </c>
      <c r="F16" s="16" t="n">
        <v>41</v>
      </c>
      <c r="G16" s="16" t="n">
        <v>449</v>
      </c>
    </row>
    <row r="17">
      <c r="A17" s="16" t="inlineStr">
        <is>
          <t>Campaign A</t>
        </is>
      </c>
      <c r="B17" s="16" t="inlineStr">
        <is>
          <t>Ad A</t>
        </is>
      </c>
      <c r="C17" s="17" t="n">
        <v>45958</v>
      </c>
      <c r="D17" s="16" t="n">
        <v>61387</v>
      </c>
      <c r="E17" s="16" t="n">
        <v>700.58</v>
      </c>
      <c r="F17" s="16" t="n">
        <v>40</v>
      </c>
      <c r="G17" s="16" t="n">
        <v>441</v>
      </c>
    </row>
    <row r="18">
      <c r="A18" s="16" t="inlineStr">
        <is>
          <t>Campaign A</t>
        </is>
      </c>
      <c r="B18" s="16" t="inlineStr">
        <is>
          <t>Ad A</t>
        </is>
      </c>
      <c r="C18" s="17" t="n">
        <v>45959</v>
      </c>
      <c r="D18" s="16" t="n">
        <v>51159</v>
      </c>
      <c r="E18" s="16" t="n">
        <v>672</v>
      </c>
      <c r="F18" s="16" t="n">
        <v>29</v>
      </c>
      <c r="G18" s="16" t="n">
        <v>406</v>
      </c>
    </row>
    <row r="19">
      <c r="A19" s="16" t="inlineStr">
        <is>
          <t>Campaign A</t>
        </is>
      </c>
      <c r="B19" s="16" t="inlineStr">
        <is>
          <t>Ad A</t>
        </is>
      </c>
      <c r="C19" s="17" t="n">
        <v>45960</v>
      </c>
      <c r="D19" s="16" t="n">
        <v>48840</v>
      </c>
      <c r="E19" s="16" t="n">
        <v>700.49</v>
      </c>
      <c r="F19" s="16" t="n">
        <v>33</v>
      </c>
      <c r="G19" s="16" t="n">
        <v>385</v>
      </c>
    </row>
    <row r="20">
      <c r="A20" s="16" t="inlineStr">
        <is>
          <t>Campaign A</t>
        </is>
      </c>
      <c r="B20" s="16" t="inlineStr">
        <is>
          <t>Ad A</t>
        </is>
      </c>
      <c r="C20" s="17" t="n">
        <v>45961</v>
      </c>
      <c r="D20" s="16" t="n">
        <v>55069</v>
      </c>
      <c r="E20" s="16" t="n">
        <v>755.35</v>
      </c>
      <c r="F20" s="16" t="n">
        <v>52</v>
      </c>
      <c r="G20" s="16" t="n">
        <v>443</v>
      </c>
    </row>
    <row r="21">
      <c r="A21" s="16" t="inlineStr">
        <is>
          <t>Campaign A</t>
        </is>
      </c>
      <c r="B21" s="16" t="inlineStr">
        <is>
          <t>Ad A</t>
        </is>
      </c>
      <c r="C21" s="17" t="n">
        <v>45962</v>
      </c>
      <c r="D21" s="16" t="n">
        <v>45165</v>
      </c>
      <c r="E21" s="16" t="n">
        <v>691.88</v>
      </c>
      <c r="F21" s="16" t="n">
        <v>22</v>
      </c>
      <c r="G21" s="16" t="n">
        <v>345</v>
      </c>
    </row>
    <row r="22">
      <c r="A22" s="16" t="inlineStr">
        <is>
          <t>Campaign A</t>
        </is>
      </c>
      <c r="B22" s="16" t="inlineStr">
        <is>
          <t>Ad A</t>
        </is>
      </c>
      <c r="C22" s="17" t="n">
        <v>45963</v>
      </c>
      <c r="D22" s="16" t="n">
        <v>66931</v>
      </c>
      <c r="E22" s="16" t="n">
        <v>835.24</v>
      </c>
      <c r="F22" s="16" t="n">
        <v>30</v>
      </c>
      <c r="G22" s="16" t="n">
        <v>544</v>
      </c>
    </row>
    <row r="23">
      <c r="A23" s="16" t="inlineStr">
        <is>
          <t>Campaign A</t>
        </is>
      </c>
      <c r="B23" s="16" t="inlineStr">
        <is>
          <t>Ad A</t>
        </is>
      </c>
      <c r="C23" s="17" t="n">
        <v>45964</v>
      </c>
      <c r="D23" s="16" t="n">
        <v>30962</v>
      </c>
      <c r="E23" s="16" t="n">
        <v>360</v>
      </c>
      <c r="F23" s="16" t="n">
        <v>24</v>
      </c>
      <c r="G23" s="16" t="n">
        <v>206</v>
      </c>
    </row>
    <row r="24">
      <c r="A24" s="16" t="inlineStr">
        <is>
          <t>Campaign A</t>
        </is>
      </c>
      <c r="B24" s="16" t="inlineStr">
        <is>
          <t>Ad A</t>
        </is>
      </c>
      <c r="C24" s="17" t="n">
        <v>45965</v>
      </c>
      <c r="D24" s="16" t="n">
        <v>41131</v>
      </c>
      <c r="E24" s="16" t="n">
        <v>472</v>
      </c>
      <c r="F24" s="16" t="n">
        <v>23</v>
      </c>
      <c r="G24" s="16" t="n">
        <v>279</v>
      </c>
    </row>
    <row r="25">
      <c r="A25" s="16" t="inlineStr">
        <is>
          <t>Campaign A</t>
        </is>
      </c>
      <c r="B25" s="16" t="inlineStr">
        <is>
          <t>Ad A</t>
        </is>
      </c>
      <c r="C25" s="17" t="n">
        <v>45966</v>
      </c>
      <c r="D25" s="16" t="n">
        <v>44779</v>
      </c>
      <c r="E25" s="16" t="n">
        <v>549</v>
      </c>
      <c r="F25" s="16" t="n">
        <v>14</v>
      </c>
      <c r="G25" s="16" t="n">
        <v>275</v>
      </c>
    </row>
    <row r="26">
      <c r="A26" s="16" t="inlineStr">
        <is>
          <t>Campaign A</t>
        </is>
      </c>
      <c r="B26" s="16" t="inlineStr">
        <is>
          <t>Ad A</t>
        </is>
      </c>
      <c r="C26" s="17" t="n">
        <v>45967</v>
      </c>
      <c r="D26" s="16" t="n">
        <v>40928</v>
      </c>
      <c r="E26" s="16" t="n">
        <v>491</v>
      </c>
      <c r="F26" s="16" t="n">
        <v>22</v>
      </c>
      <c r="G26" s="16" t="n">
        <v>250</v>
      </c>
    </row>
    <row r="27">
      <c r="A27" s="16" t="inlineStr">
        <is>
          <t>Campaign A</t>
        </is>
      </c>
      <c r="B27" s="16" t="inlineStr">
        <is>
          <t>Ad A</t>
        </is>
      </c>
      <c r="C27" s="17" t="n">
        <v>45968</v>
      </c>
      <c r="D27" s="16" t="n">
        <v>26161</v>
      </c>
      <c r="E27" s="16" t="n">
        <v>329</v>
      </c>
      <c r="F27" s="16" t="n">
        <v>8</v>
      </c>
      <c r="G27" s="16" t="n">
        <v>167</v>
      </c>
    </row>
    <row r="28">
      <c r="A28" s="16" t="inlineStr">
        <is>
          <t>Campaign A</t>
        </is>
      </c>
      <c r="B28" s="16" t="inlineStr">
        <is>
          <t>Ad A</t>
        </is>
      </c>
      <c r="C28" s="17" t="n">
        <v>45969</v>
      </c>
      <c r="D28" s="16" t="n">
        <v>0</v>
      </c>
      <c r="E28" s="16" t="n">
        <v>0</v>
      </c>
      <c r="F28" s="16" t="n">
        <v>1</v>
      </c>
      <c r="G28" s="16" t="n">
        <v>0</v>
      </c>
    </row>
    <row r="29">
      <c r="A29" s="16" t="inlineStr">
        <is>
          <t>Campaign A</t>
        </is>
      </c>
      <c r="B29" s="16" t="inlineStr">
        <is>
          <t>Ad A</t>
        </is>
      </c>
      <c r="C29" s="17" t="n">
        <v>45970</v>
      </c>
      <c r="D29" s="16" t="n">
        <v>6160</v>
      </c>
      <c r="E29" s="16" t="n">
        <v>80</v>
      </c>
      <c r="F29" s="16" t="n">
        <v>6</v>
      </c>
      <c r="G29" s="16" t="n">
        <v>49</v>
      </c>
    </row>
    <row r="30">
      <c r="A30" s="16" t="inlineStr">
        <is>
          <t>Campaign A</t>
        </is>
      </c>
      <c r="B30" s="16" t="inlineStr">
        <is>
          <t>Ad A</t>
        </is>
      </c>
      <c r="C30" s="17" t="n">
        <v>45971</v>
      </c>
      <c r="D30" s="16" t="n">
        <v>1128</v>
      </c>
      <c r="E30" s="16" t="n">
        <v>10</v>
      </c>
      <c r="F30" s="16" t="n">
        <v>0</v>
      </c>
      <c r="G30" s="16" t="n">
        <v>5</v>
      </c>
    </row>
    <row r="31">
      <c r="A31" s="16" t="inlineStr">
        <is>
          <t>Campaign A</t>
        </is>
      </c>
      <c r="B31" s="16" t="inlineStr">
        <is>
          <t>Ad A</t>
        </is>
      </c>
      <c r="C31" s="17" t="n">
        <v>45972</v>
      </c>
      <c r="D31" s="16" t="n">
        <v>14116</v>
      </c>
      <c r="E31" s="16" t="n">
        <v>121</v>
      </c>
      <c r="F31" s="16" t="n">
        <v>11</v>
      </c>
      <c r="G31" s="16" t="n">
        <v>98</v>
      </c>
    </row>
    <row r="32">
      <c r="A32" s="16" t="inlineStr">
        <is>
          <t>Campaign A</t>
        </is>
      </c>
      <c r="B32" s="16" t="inlineStr">
        <is>
          <t>Ad A</t>
        </is>
      </c>
      <c r="C32" s="17" t="n">
        <v>45973</v>
      </c>
      <c r="D32" s="16" t="n">
        <v>3141</v>
      </c>
      <c r="E32" s="16" t="n">
        <v>35</v>
      </c>
      <c r="F32" s="16" t="n">
        <v>1</v>
      </c>
      <c r="G32" s="16" t="n">
        <v>16</v>
      </c>
    </row>
    <row r="33">
      <c r="A33" s="16" t="inlineStr">
        <is>
          <t>Campaign A</t>
        </is>
      </c>
      <c r="B33" s="16" t="inlineStr">
        <is>
          <t>Ad A</t>
        </is>
      </c>
      <c r="C33" s="17" t="n">
        <v>45974</v>
      </c>
      <c r="D33" s="16" t="n">
        <v>15720</v>
      </c>
      <c r="E33" s="16" t="n">
        <v>227</v>
      </c>
      <c r="F33" s="16" t="n">
        <v>7</v>
      </c>
      <c r="G33" s="16" t="n">
        <v>108</v>
      </c>
    </row>
    <row r="34">
      <c r="A34" s="16" t="inlineStr">
        <is>
          <t>Campaign A</t>
        </is>
      </c>
      <c r="B34" s="16" t="inlineStr">
        <is>
          <t>Ad A</t>
        </is>
      </c>
      <c r="C34" s="17" t="n">
        <v>45975</v>
      </c>
      <c r="D34" s="16" t="n">
        <v>18656</v>
      </c>
      <c r="E34" s="16" t="n">
        <v>258</v>
      </c>
      <c r="F34" s="16" t="n">
        <v>17</v>
      </c>
      <c r="G34" s="16" t="n">
        <v>122</v>
      </c>
    </row>
    <row r="35">
      <c r="A35" s="16" t="inlineStr">
        <is>
          <t>Campaign A</t>
        </is>
      </c>
      <c r="B35" s="16" t="inlineStr">
        <is>
          <t>Ad A</t>
        </is>
      </c>
      <c r="C35" s="17" t="n">
        <v>45976</v>
      </c>
      <c r="D35" s="16" t="n">
        <v>20483</v>
      </c>
      <c r="E35" s="16" t="n">
        <v>248</v>
      </c>
      <c r="F35" s="16" t="n">
        <v>14</v>
      </c>
      <c r="G35" s="16" t="n">
        <v>143</v>
      </c>
    </row>
    <row r="36">
      <c r="A36" s="16" t="inlineStr">
        <is>
          <t>Campaign A</t>
        </is>
      </c>
      <c r="B36" s="16" t="inlineStr">
        <is>
          <t>Ad A</t>
        </is>
      </c>
      <c r="C36" s="17" t="n">
        <v>45977</v>
      </c>
      <c r="D36" s="16" t="n">
        <v>36504</v>
      </c>
      <c r="E36" s="16" t="n">
        <v>436</v>
      </c>
      <c r="F36" s="16" t="n">
        <v>23</v>
      </c>
      <c r="G36" s="16" t="n">
        <v>226</v>
      </c>
    </row>
    <row r="37">
      <c r="A37" s="16" t="inlineStr">
        <is>
          <t>Campaign A</t>
        </is>
      </c>
      <c r="B37" s="16" t="inlineStr">
        <is>
          <t>Ad A</t>
        </is>
      </c>
      <c r="C37" s="17" t="n">
        <v>45978</v>
      </c>
      <c r="D37" s="16" t="n">
        <v>3550</v>
      </c>
      <c r="E37" s="16" t="n">
        <v>34</v>
      </c>
      <c r="F37" s="16" t="n">
        <v>2</v>
      </c>
      <c r="G37" s="16" t="n">
        <v>27</v>
      </c>
    </row>
    <row r="38">
      <c r="A38" s="16" t="inlineStr">
        <is>
          <t>Campaign A</t>
        </is>
      </c>
      <c r="B38" s="16" t="inlineStr">
        <is>
          <t>Ad A</t>
        </is>
      </c>
      <c r="C38" s="17" t="n">
        <v>45979</v>
      </c>
      <c r="D38" s="16" t="n">
        <v>32955</v>
      </c>
      <c r="E38" s="16" t="n">
        <v>363</v>
      </c>
      <c r="F38" s="16" t="n">
        <v>29</v>
      </c>
      <c r="G38" s="16" t="n">
        <v>236</v>
      </c>
    </row>
    <row r="39">
      <c r="A39" s="16" t="inlineStr">
        <is>
          <t>Campaign A</t>
        </is>
      </c>
      <c r="B39" s="16" t="inlineStr">
        <is>
          <t>Ad A</t>
        </is>
      </c>
      <c r="C39" s="17" t="n">
        <v>45980</v>
      </c>
      <c r="D39" s="16" t="n">
        <v>12633</v>
      </c>
      <c r="E39" s="16" t="n">
        <v>169</v>
      </c>
      <c r="F39" s="16" t="n">
        <v>10</v>
      </c>
      <c r="G39" s="16" t="n">
        <v>113</v>
      </c>
    </row>
    <row r="40">
      <c r="A40" s="16" t="inlineStr">
        <is>
          <t>Campaign A</t>
        </is>
      </c>
      <c r="B40" s="16" t="inlineStr">
        <is>
          <t>Ad A</t>
        </is>
      </c>
      <c r="C40" s="17" t="n">
        <v>45981</v>
      </c>
      <c r="D40" s="16" t="n">
        <v>11103</v>
      </c>
      <c r="E40" s="16" t="n">
        <v>171</v>
      </c>
      <c r="F40" s="16" t="n">
        <v>10</v>
      </c>
      <c r="G40" s="16" t="n">
        <v>103</v>
      </c>
    </row>
    <row r="41">
      <c r="A41" s="16" t="inlineStr">
        <is>
          <t>Campaign A</t>
        </is>
      </c>
      <c r="B41" s="16" t="inlineStr">
        <is>
          <t>Ad A</t>
        </is>
      </c>
      <c r="C41" s="17" t="n">
        <v>45982</v>
      </c>
      <c r="D41" s="16" t="n">
        <v>8919</v>
      </c>
      <c r="E41" s="16" t="n">
        <v>139</v>
      </c>
      <c r="F41" s="16" t="n">
        <v>7</v>
      </c>
      <c r="G41" s="16" t="n">
        <v>77</v>
      </c>
    </row>
    <row r="42">
      <c r="A42" s="16" t="inlineStr">
        <is>
          <t>Campaign A</t>
        </is>
      </c>
      <c r="B42" s="16" t="inlineStr">
        <is>
          <t>Ad A</t>
        </is>
      </c>
      <c r="C42" s="17" t="n">
        <v>45983</v>
      </c>
      <c r="D42" s="16" t="n">
        <v>7210</v>
      </c>
      <c r="E42" s="16" t="n">
        <v>117</v>
      </c>
      <c r="F42" s="16" t="n">
        <v>10</v>
      </c>
      <c r="G42" s="16" t="n">
        <v>59</v>
      </c>
    </row>
    <row r="43">
      <c r="A43" s="16" t="inlineStr">
        <is>
          <t>Campaign A</t>
        </is>
      </c>
      <c r="B43" s="16" t="inlineStr">
        <is>
          <t>Ad A</t>
        </is>
      </c>
      <c r="C43" s="17" t="n">
        <v>45984</v>
      </c>
      <c r="D43" s="16" t="n">
        <v>6913</v>
      </c>
      <c r="E43" s="16" t="n">
        <v>120</v>
      </c>
      <c r="F43" s="16" t="n">
        <v>9</v>
      </c>
      <c r="G43" s="16" t="n">
        <v>66</v>
      </c>
    </row>
    <row r="44">
      <c r="A44" s="16" t="inlineStr">
        <is>
          <t>Campaign A</t>
        </is>
      </c>
      <c r="B44" s="16" t="inlineStr">
        <is>
          <t>Ad B</t>
        </is>
      </c>
      <c r="C44" s="17" t="n">
        <v>45943</v>
      </c>
      <c r="D44" s="16" t="n">
        <v>20999</v>
      </c>
      <c r="E44" s="16" t="n">
        <v>262.72</v>
      </c>
      <c r="F44" s="16" t="n">
        <v>15</v>
      </c>
      <c r="G44" s="16" t="n">
        <v>164</v>
      </c>
    </row>
    <row r="45">
      <c r="A45" s="16" t="inlineStr">
        <is>
          <t>Campaign A</t>
        </is>
      </c>
      <c r="B45" s="16" t="inlineStr">
        <is>
          <t>Ad B</t>
        </is>
      </c>
      <c r="C45" s="17" t="n">
        <v>45944</v>
      </c>
      <c r="D45" s="16" t="n">
        <v>21339</v>
      </c>
      <c r="E45" s="16" t="n">
        <v>241.6</v>
      </c>
      <c r="F45" s="16" t="n">
        <v>14</v>
      </c>
      <c r="G45" s="16" t="n">
        <v>147</v>
      </c>
    </row>
    <row r="46">
      <c r="A46" s="16" t="inlineStr">
        <is>
          <t>Campaign A</t>
        </is>
      </c>
      <c r="B46" s="16" t="inlineStr">
        <is>
          <t>Ad B</t>
        </is>
      </c>
      <c r="C46" s="17" t="n">
        <v>45945</v>
      </c>
      <c r="D46" s="16" t="n">
        <v>17677</v>
      </c>
      <c r="E46" s="16" t="n">
        <v>222.59</v>
      </c>
      <c r="F46" s="16" t="n">
        <v>6</v>
      </c>
      <c r="G46" s="16" t="n">
        <v>104</v>
      </c>
    </row>
    <row r="47">
      <c r="A47" s="16" t="inlineStr">
        <is>
          <t>Campaign A</t>
        </is>
      </c>
      <c r="B47" s="16" t="inlineStr">
        <is>
          <t>Ad B</t>
        </is>
      </c>
      <c r="C47" s="17" t="n">
        <v>45946</v>
      </c>
      <c r="D47" s="16" t="n">
        <v>24849</v>
      </c>
      <c r="E47" s="16" t="n">
        <v>313.31</v>
      </c>
      <c r="F47" s="16" t="n">
        <v>13</v>
      </c>
      <c r="G47" s="16" t="n">
        <v>153</v>
      </c>
    </row>
    <row r="48">
      <c r="A48" s="16" t="inlineStr">
        <is>
          <t>Campaign A</t>
        </is>
      </c>
      <c r="B48" s="16" t="inlineStr">
        <is>
          <t>Ad B</t>
        </is>
      </c>
      <c r="C48" s="17" t="n">
        <v>45947</v>
      </c>
      <c r="D48" s="16" t="n">
        <v>22715</v>
      </c>
      <c r="E48" s="16" t="n">
        <v>284.16</v>
      </c>
      <c r="F48" s="16" t="n">
        <v>9</v>
      </c>
      <c r="G48" s="16" t="n">
        <v>152</v>
      </c>
    </row>
    <row r="49">
      <c r="A49" s="16" t="inlineStr">
        <is>
          <t>Campaign A</t>
        </is>
      </c>
      <c r="B49" s="16" t="inlineStr">
        <is>
          <t>Ad B</t>
        </is>
      </c>
      <c r="C49" s="17" t="n">
        <v>45948</v>
      </c>
      <c r="D49" s="16" t="n">
        <v>19990</v>
      </c>
      <c r="E49" s="16" t="n">
        <v>245.56</v>
      </c>
      <c r="F49" s="16" t="n">
        <v>10</v>
      </c>
      <c r="G49" s="16" t="n">
        <v>130</v>
      </c>
    </row>
    <row r="50">
      <c r="A50" s="16" t="inlineStr">
        <is>
          <t>Campaign A</t>
        </is>
      </c>
      <c r="B50" s="16" t="inlineStr">
        <is>
          <t>Ad B</t>
        </is>
      </c>
      <c r="C50" s="17" t="n">
        <v>45949</v>
      </c>
      <c r="D50" s="16" t="n">
        <v>15422</v>
      </c>
      <c r="E50" s="16" t="n">
        <v>190.33</v>
      </c>
      <c r="F50" s="16" t="n">
        <v>3</v>
      </c>
      <c r="G50" s="16" t="n">
        <v>158</v>
      </c>
    </row>
    <row r="51">
      <c r="A51" s="16" t="inlineStr">
        <is>
          <t>Campaign A</t>
        </is>
      </c>
      <c r="B51" s="16" t="inlineStr">
        <is>
          <t>Ad B</t>
        </is>
      </c>
      <c r="C51" s="17" t="n">
        <v>45950</v>
      </c>
      <c r="D51" s="16" t="n">
        <v>18570</v>
      </c>
      <c r="E51" s="16" t="n">
        <v>175.01</v>
      </c>
      <c r="F51" s="16" t="n">
        <v>7</v>
      </c>
      <c r="G51" s="16" t="n">
        <v>179</v>
      </c>
    </row>
    <row r="52">
      <c r="A52" s="16" t="inlineStr">
        <is>
          <t>Campaign A</t>
        </is>
      </c>
      <c r="B52" s="16" t="inlineStr">
        <is>
          <t>Ad B</t>
        </is>
      </c>
      <c r="C52" s="17" t="n">
        <v>45951</v>
      </c>
      <c r="D52" s="16" t="n">
        <v>30450</v>
      </c>
      <c r="E52" s="16" t="n">
        <v>272.05</v>
      </c>
      <c r="F52" s="16" t="n">
        <v>27</v>
      </c>
      <c r="G52" s="16" t="n">
        <v>321</v>
      </c>
    </row>
    <row r="53">
      <c r="A53" s="16" t="inlineStr">
        <is>
          <t>Campaign A</t>
        </is>
      </c>
      <c r="B53" s="16" t="inlineStr">
        <is>
          <t>Ad B</t>
        </is>
      </c>
      <c r="C53" s="17" t="n">
        <v>45952</v>
      </c>
      <c r="D53" s="16" t="n">
        <v>24113</v>
      </c>
      <c r="E53" s="16" t="n">
        <v>268.34</v>
      </c>
      <c r="F53" s="16" t="n">
        <v>14</v>
      </c>
      <c r="G53" s="16" t="n">
        <v>197</v>
      </c>
    </row>
    <row r="54">
      <c r="A54" s="16" t="inlineStr">
        <is>
          <t>Campaign A</t>
        </is>
      </c>
      <c r="B54" s="16" t="inlineStr">
        <is>
          <t>Ad B</t>
        </is>
      </c>
      <c r="C54" s="17" t="n">
        <v>45953</v>
      </c>
      <c r="D54" s="16" t="n">
        <v>23284</v>
      </c>
      <c r="E54" s="16" t="n">
        <v>263.89</v>
      </c>
      <c r="F54" s="16" t="n">
        <v>12</v>
      </c>
      <c r="G54" s="16" t="n">
        <v>182</v>
      </c>
    </row>
    <row r="55">
      <c r="A55" s="16" t="inlineStr">
        <is>
          <t>Campaign A</t>
        </is>
      </c>
      <c r="B55" s="16" t="inlineStr">
        <is>
          <t>Ad B</t>
        </is>
      </c>
      <c r="C55" s="17" t="n">
        <v>45954</v>
      </c>
      <c r="D55" s="16" t="n">
        <v>20825</v>
      </c>
      <c r="E55" s="16" t="n">
        <v>232.01</v>
      </c>
      <c r="F55" s="16" t="n">
        <v>8</v>
      </c>
      <c r="G55" s="16" t="n">
        <v>167</v>
      </c>
    </row>
    <row r="56">
      <c r="A56" s="16" t="inlineStr">
        <is>
          <t>Campaign A</t>
        </is>
      </c>
      <c r="B56" s="16" t="inlineStr">
        <is>
          <t>Ad B</t>
        </is>
      </c>
      <c r="C56" s="17" t="n">
        <v>45955</v>
      </c>
      <c r="D56" s="16" t="n">
        <v>25647</v>
      </c>
      <c r="E56" s="16" t="n">
        <v>280.74</v>
      </c>
      <c r="F56" s="16" t="n">
        <v>18</v>
      </c>
      <c r="G56" s="16" t="n">
        <v>217</v>
      </c>
    </row>
    <row r="57">
      <c r="A57" s="16" t="inlineStr">
        <is>
          <t>Campaign A</t>
        </is>
      </c>
      <c r="B57" s="16" t="inlineStr">
        <is>
          <t>Ad B</t>
        </is>
      </c>
      <c r="C57" s="17" t="n">
        <v>45956</v>
      </c>
      <c r="D57" s="16" t="n">
        <v>23580</v>
      </c>
      <c r="E57" s="16" t="n">
        <v>263.97</v>
      </c>
      <c r="F57" s="16" t="n">
        <v>11</v>
      </c>
      <c r="G57" s="16" t="n">
        <v>200</v>
      </c>
    </row>
    <row r="58">
      <c r="A58" s="16" t="inlineStr">
        <is>
          <t>Campaign A</t>
        </is>
      </c>
      <c r="B58" s="16" t="inlineStr">
        <is>
          <t>Ad B</t>
        </is>
      </c>
      <c r="C58" s="17" t="n">
        <v>45957</v>
      </c>
      <c r="D58" s="16" t="n">
        <v>31641</v>
      </c>
      <c r="E58" s="16" t="n">
        <v>318.06</v>
      </c>
      <c r="F58" s="16" t="n">
        <v>9</v>
      </c>
      <c r="G58" s="16" t="n">
        <v>254</v>
      </c>
    </row>
    <row r="59">
      <c r="A59" s="16" t="inlineStr">
        <is>
          <t>Campaign A</t>
        </is>
      </c>
      <c r="B59" s="16" t="inlineStr">
        <is>
          <t>Ad B</t>
        </is>
      </c>
      <c r="C59" s="17" t="n">
        <v>45958</v>
      </c>
      <c r="D59" s="16" t="n">
        <v>32919</v>
      </c>
      <c r="E59" s="16" t="n">
        <v>317.08</v>
      </c>
      <c r="F59" s="16" t="n">
        <v>26</v>
      </c>
      <c r="G59" s="16" t="n">
        <v>213</v>
      </c>
    </row>
    <row r="60">
      <c r="A60" s="16" t="inlineStr">
        <is>
          <t>Campaign A</t>
        </is>
      </c>
      <c r="B60" s="16" t="inlineStr">
        <is>
          <t>Ad B</t>
        </is>
      </c>
      <c r="C60" s="17" t="n">
        <v>45959</v>
      </c>
      <c r="D60" s="16" t="n">
        <v>28799</v>
      </c>
      <c r="E60" s="16" t="n">
        <v>307.45</v>
      </c>
      <c r="F60" s="16" t="n">
        <v>15</v>
      </c>
      <c r="G60" s="16" t="n">
        <v>209</v>
      </c>
    </row>
    <row r="61">
      <c r="A61" s="16" t="inlineStr">
        <is>
          <t>Campaign A</t>
        </is>
      </c>
      <c r="B61" s="16" t="inlineStr">
        <is>
          <t>Ad B</t>
        </is>
      </c>
      <c r="C61" s="17" t="n">
        <v>45960</v>
      </c>
      <c r="D61" s="16" t="n">
        <v>28964</v>
      </c>
      <c r="E61" s="16" t="n">
        <v>321.2</v>
      </c>
      <c r="F61" s="16" t="n">
        <v>6</v>
      </c>
      <c r="G61" s="16" t="n">
        <v>201</v>
      </c>
    </row>
    <row r="62">
      <c r="A62" s="16" t="inlineStr">
        <is>
          <t>Campaign A</t>
        </is>
      </c>
      <c r="B62" s="16" t="inlineStr">
        <is>
          <t>Ad B</t>
        </is>
      </c>
      <c r="C62" s="17" t="n">
        <v>45961</v>
      </c>
      <c r="D62" s="16" t="n">
        <v>25275</v>
      </c>
      <c r="E62" s="16" t="n">
        <v>297.1</v>
      </c>
      <c r="F62" s="16" t="n">
        <v>23</v>
      </c>
      <c r="G62" s="16" t="n">
        <v>181</v>
      </c>
    </row>
    <row r="63">
      <c r="A63" s="16" t="inlineStr">
        <is>
          <t>Campaign A</t>
        </is>
      </c>
      <c r="B63" s="16" t="inlineStr">
        <is>
          <t>Ad B</t>
        </is>
      </c>
      <c r="C63" s="17" t="n">
        <v>45962</v>
      </c>
      <c r="D63" s="16" t="n">
        <v>21929</v>
      </c>
      <c r="E63" s="16" t="n">
        <v>281.42</v>
      </c>
      <c r="F63" s="16" t="n">
        <v>10</v>
      </c>
      <c r="G63" s="16" t="n">
        <v>156</v>
      </c>
    </row>
    <row r="64">
      <c r="A64" s="16" t="inlineStr">
        <is>
          <t>Campaign A</t>
        </is>
      </c>
      <c r="B64" s="16" t="inlineStr">
        <is>
          <t>Ad B</t>
        </is>
      </c>
      <c r="C64" s="17" t="n">
        <v>45963</v>
      </c>
      <c r="D64" s="16" t="n">
        <v>23369</v>
      </c>
      <c r="E64" s="16" t="n">
        <v>262.06</v>
      </c>
      <c r="F64" s="16" t="n">
        <v>15</v>
      </c>
      <c r="G64" s="16" t="n">
        <v>190</v>
      </c>
    </row>
    <row r="65">
      <c r="A65" s="16" t="inlineStr">
        <is>
          <t>Campaign A</t>
        </is>
      </c>
      <c r="B65" s="16" t="inlineStr">
        <is>
          <t>Ad C</t>
        </is>
      </c>
      <c r="C65" s="17" t="n">
        <v>45943</v>
      </c>
      <c r="D65" s="16" t="n">
        <v>6362</v>
      </c>
      <c r="E65" s="16" t="n">
        <v>80.84</v>
      </c>
      <c r="F65" s="16" t="n">
        <v>1</v>
      </c>
      <c r="G65" s="16" t="n">
        <v>60</v>
      </c>
    </row>
    <row r="66">
      <c r="A66" s="16" t="inlineStr">
        <is>
          <t>Campaign A</t>
        </is>
      </c>
      <c r="B66" s="16" t="inlineStr">
        <is>
          <t>Ad C</t>
        </is>
      </c>
      <c r="C66" s="17" t="n">
        <v>45944</v>
      </c>
      <c r="D66" s="16" t="n">
        <v>7154</v>
      </c>
      <c r="E66" s="16" t="n">
        <v>86.63</v>
      </c>
      <c r="F66" s="16" t="n">
        <v>6</v>
      </c>
      <c r="G66" s="16" t="n">
        <v>87</v>
      </c>
    </row>
    <row r="67">
      <c r="A67" s="16" t="inlineStr">
        <is>
          <t>Campaign A</t>
        </is>
      </c>
      <c r="B67" s="16" t="inlineStr">
        <is>
          <t>Ad C</t>
        </is>
      </c>
      <c r="C67" s="17" t="n">
        <v>45945</v>
      </c>
      <c r="D67" s="16" t="n">
        <v>6729</v>
      </c>
      <c r="E67" s="16" t="n">
        <v>86.19</v>
      </c>
      <c r="F67" s="16" t="n">
        <v>2</v>
      </c>
      <c r="G67" s="16" t="n">
        <v>76</v>
      </c>
    </row>
    <row r="68">
      <c r="A68" s="16" t="inlineStr">
        <is>
          <t>Campaign A</t>
        </is>
      </c>
      <c r="B68" s="16" t="inlineStr">
        <is>
          <t>Ad C</t>
        </is>
      </c>
      <c r="C68" s="17" t="n">
        <v>45946</v>
      </c>
      <c r="D68" s="16" t="n">
        <v>8462</v>
      </c>
      <c r="E68" s="16" t="n">
        <v>120.09</v>
      </c>
      <c r="F68" s="16" t="n">
        <v>1</v>
      </c>
      <c r="G68" s="16" t="n">
        <v>72</v>
      </c>
    </row>
    <row r="69">
      <c r="A69" s="16" t="inlineStr">
        <is>
          <t>Campaign A</t>
        </is>
      </c>
      <c r="B69" s="16" t="inlineStr">
        <is>
          <t>Ad C</t>
        </is>
      </c>
      <c r="C69" s="17" t="n">
        <v>45947</v>
      </c>
      <c r="D69" s="16" t="n">
        <v>11540</v>
      </c>
      <c r="E69" s="16" t="n">
        <v>187.08</v>
      </c>
      <c r="F69" s="16" t="n">
        <v>4</v>
      </c>
      <c r="G69" s="16" t="n">
        <v>87</v>
      </c>
    </row>
    <row r="70">
      <c r="A70" s="16" t="inlineStr">
        <is>
          <t>Campaign A</t>
        </is>
      </c>
      <c r="B70" s="16" t="inlineStr">
        <is>
          <t>Ad C</t>
        </is>
      </c>
      <c r="C70" s="17" t="n">
        <v>45948</v>
      </c>
      <c r="D70" s="16" t="n">
        <v>9826</v>
      </c>
      <c r="E70" s="16" t="n">
        <v>163.85</v>
      </c>
      <c r="F70" s="16" t="n">
        <v>5</v>
      </c>
      <c r="G70" s="16" t="n">
        <v>102</v>
      </c>
    </row>
    <row r="71">
      <c r="A71" s="16" t="inlineStr">
        <is>
          <t>Campaign A</t>
        </is>
      </c>
      <c r="B71" s="16" t="inlineStr">
        <is>
          <t>Ad C</t>
        </is>
      </c>
      <c r="C71" s="17" t="n">
        <v>45949</v>
      </c>
      <c r="D71" s="16" t="n">
        <v>13262</v>
      </c>
      <c r="E71" s="16" t="n">
        <v>196.16</v>
      </c>
      <c r="F71" s="16" t="n">
        <v>3</v>
      </c>
      <c r="G71" s="16" t="n">
        <v>166</v>
      </c>
    </row>
    <row r="72">
      <c r="A72" s="16" t="inlineStr">
        <is>
          <t>Campaign A</t>
        </is>
      </c>
      <c r="B72" s="16" t="inlineStr">
        <is>
          <t>Ad C</t>
        </is>
      </c>
      <c r="C72" s="17" t="n">
        <v>45950</v>
      </c>
      <c r="D72" s="16" t="n">
        <v>40298</v>
      </c>
      <c r="E72" s="16" t="n">
        <v>422.67</v>
      </c>
      <c r="F72" s="16" t="n">
        <v>11</v>
      </c>
      <c r="G72" s="16" t="n">
        <v>478</v>
      </c>
    </row>
    <row r="73">
      <c r="A73" s="16" t="inlineStr">
        <is>
          <t>Campaign A</t>
        </is>
      </c>
      <c r="B73" s="16" t="inlineStr">
        <is>
          <t>Ad C</t>
        </is>
      </c>
      <c r="C73" s="17" t="n">
        <v>45951</v>
      </c>
      <c r="D73" s="16" t="n">
        <v>36974</v>
      </c>
      <c r="E73" s="16" t="n">
        <v>342.88</v>
      </c>
      <c r="F73" s="16" t="n">
        <v>7</v>
      </c>
      <c r="G73" s="16" t="n">
        <v>383</v>
      </c>
    </row>
    <row r="74">
      <c r="A74" s="16" t="inlineStr">
        <is>
          <t>Campaign A</t>
        </is>
      </c>
      <c r="B74" s="16" t="inlineStr">
        <is>
          <t>Ad C</t>
        </is>
      </c>
      <c r="C74" s="17" t="n">
        <v>45952</v>
      </c>
      <c r="D74" s="16" t="n">
        <v>20332</v>
      </c>
      <c r="E74" s="16" t="n">
        <v>269.91</v>
      </c>
      <c r="F74" s="16" t="n">
        <v>9</v>
      </c>
      <c r="G74" s="16" t="n">
        <v>251</v>
      </c>
    </row>
    <row r="75">
      <c r="A75" s="16" t="inlineStr">
        <is>
          <t>Campaign A</t>
        </is>
      </c>
      <c r="B75" s="16" t="inlineStr">
        <is>
          <t>Ad C</t>
        </is>
      </c>
      <c r="C75" s="17" t="n">
        <v>45953</v>
      </c>
      <c r="D75" s="16" t="n">
        <v>13378</v>
      </c>
      <c r="E75" s="16" t="n">
        <v>206.47</v>
      </c>
      <c r="F75" s="16" t="n">
        <v>3</v>
      </c>
      <c r="G75" s="16" t="n">
        <v>148</v>
      </c>
    </row>
    <row r="76">
      <c r="A76" s="16" t="inlineStr">
        <is>
          <t>Campaign A</t>
        </is>
      </c>
      <c r="B76" s="16" t="inlineStr">
        <is>
          <t>Ad C</t>
        </is>
      </c>
      <c r="C76" s="17" t="n">
        <v>45954</v>
      </c>
      <c r="D76" s="16" t="n">
        <v>12749</v>
      </c>
      <c r="E76" s="16" t="n">
        <v>200.23</v>
      </c>
      <c r="F76" s="16" t="n">
        <v>4</v>
      </c>
      <c r="G76" s="16" t="n">
        <v>170</v>
      </c>
    </row>
    <row r="77">
      <c r="A77" s="16" t="inlineStr">
        <is>
          <t>Campaign A</t>
        </is>
      </c>
      <c r="B77" s="16" t="inlineStr">
        <is>
          <t>Ad C</t>
        </is>
      </c>
      <c r="C77" s="17" t="n">
        <v>45955</v>
      </c>
      <c r="D77" s="16" t="n">
        <v>14007</v>
      </c>
      <c r="E77" s="16" t="n">
        <v>229.71</v>
      </c>
      <c r="F77" s="16" t="n">
        <v>8</v>
      </c>
      <c r="G77" s="16" t="n">
        <v>187</v>
      </c>
    </row>
    <row r="78">
      <c r="A78" s="16" t="inlineStr">
        <is>
          <t>Campaign A</t>
        </is>
      </c>
      <c r="B78" s="16" t="inlineStr">
        <is>
          <t>Ad C</t>
        </is>
      </c>
      <c r="C78" s="17" t="n">
        <v>45956</v>
      </c>
      <c r="D78" s="16" t="n">
        <v>9206</v>
      </c>
      <c r="E78" s="16" t="n">
        <v>156</v>
      </c>
      <c r="F78" s="16" t="n">
        <v>4</v>
      </c>
      <c r="G78" s="16" t="n">
        <v>141</v>
      </c>
    </row>
    <row r="79">
      <c r="A79" s="16" t="inlineStr">
        <is>
          <t>Campaign A</t>
        </is>
      </c>
      <c r="B79" s="16" t="inlineStr">
        <is>
          <t>Ad C</t>
        </is>
      </c>
      <c r="C79" s="17" t="n">
        <v>45957</v>
      </c>
      <c r="D79" s="16" t="n">
        <v>12137</v>
      </c>
      <c r="E79" s="16" t="n">
        <v>188.08</v>
      </c>
      <c r="F79" s="16" t="n">
        <v>4</v>
      </c>
      <c r="G79" s="16" t="n">
        <v>199</v>
      </c>
    </row>
    <row r="80">
      <c r="A80" s="16" t="inlineStr">
        <is>
          <t>Campaign A</t>
        </is>
      </c>
      <c r="B80" s="16" t="inlineStr">
        <is>
          <t>Ad C</t>
        </is>
      </c>
      <c r="C80" s="17" t="n">
        <v>45958</v>
      </c>
      <c r="D80" s="16" t="n">
        <v>14530</v>
      </c>
      <c r="E80" s="16" t="n">
        <v>203.48</v>
      </c>
      <c r="F80" s="16" t="n">
        <v>11</v>
      </c>
      <c r="G80" s="16" t="n">
        <v>160</v>
      </c>
    </row>
    <row r="81">
      <c r="A81" s="16" t="inlineStr">
        <is>
          <t>Campaign A</t>
        </is>
      </c>
      <c r="B81" s="16" t="inlineStr">
        <is>
          <t>Ad C</t>
        </is>
      </c>
      <c r="C81" s="17" t="n">
        <v>45959</v>
      </c>
      <c r="D81" s="16" t="n">
        <v>16226</v>
      </c>
      <c r="E81" s="16" t="n">
        <v>270.22</v>
      </c>
      <c r="F81" s="16" t="n">
        <v>6</v>
      </c>
      <c r="G81" s="16" t="n">
        <v>197</v>
      </c>
    </row>
    <row r="82">
      <c r="A82" s="16" t="inlineStr">
        <is>
          <t>Campaign A</t>
        </is>
      </c>
      <c r="B82" s="16" t="inlineStr">
        <is>
          <t>Ad C</t>
        </is>
      </c>
      <c r="C82" s="17" t="n">
        <v>45960</v>
      </c>
      <c r="D82" s="16" t="n">
        <v>12628</v>
      </c>
      <c r="E82" s="16" t="n">
        <v>224.34</v>
      </c>
      <c r="F82" s="16" t="n">
        <v>5</v>
      </c>
      <c r="G82" s="16" t="n">
        <v>134</v>
      </c>
    </row>
    <row r="83">
      <c r="A83" s="16" t="inlineStr">
        <is>
          <t>Campaign A</t>
        </is>
      </c>
      <c r="B83" s="16" t="inlineStr">
        <is>
          <t>Ad C</t>
        </is>
      </c>
      <c r="C83" s="17" t="n">
        <v>45961</v>
      </c>
      <c r="D83" s="16" t="n">
        <v>11813</v>
      </c>
      <c r="E83" s="16" t="n">
        <v>226.08</v>
      </c>
      <c r="F83" s="16" t="n">
        <v>2</v>
      </c>
      <c r="G83" s="16" t="n">
        <v>129</v>
      </c>
    </row>
    <row r="84">
      <c r="A84" s="16" t="inlineStr">
        <is>
          <t>Campaign A</t>
        </is>
      </c>
      <c r="B84" s="16" t="inlineStr">
        <is>
          <t>Ad C</t>
        </is>
      </c>
      <c r="C84" s="17" t="n">
        <v>45962</v>
      </c>
      <c r="D84" s="16" t="n">
        <v>10085</v>
      </c>
      <c r="E84" s="16" t="n">
        <v>217.63</v>
      </c>
      <c r="F84" s="16" t="n">
        <v>4</v>
      </c>
      <c r="G84" s="16" t="n">
        <v>109</v>
      </c>
    </row>
    <row r="85">
      <c r="A85" s="16" t="inlineStr">
        <is>
          <t>Campaign A</t>
        </is>
      </c>
      <c r="B85" s="16" t="inlineStr">
        <is>
          <t>Ad C</t>
        </is>
      </c>
      <c r="C85" s="17" t="n">
        <v>45963</v>
      </c>
      <c r="D85" s="16" t="n">
        <v>13541</v>
      </c>
      <c r="E85" s="16" t="n">
        <v>216.25</v>
      </c>
      <c r="F85" s="16" t="n">
        <v>7</v>
      </c>
      <c r="G85" s="16" t="n">
        <v>144</v>
      </c>
    </row>
    <row r="86">
      <c r="A86" s="16" t="inlineStr">
        <is>
          <t>Campaign A</t>
        </is>
      </c>
      <c r="B86" s="16" t="inlineStr">
        <is>
          <t>Ad C</t>
        </is>
      </c>
      <c r="C86" s="17" t="n">
        <v>45964</v>
      </c>
      <c r="D86" s="16" t="n">
        <v>12222</v>
      </c>
      <c r="E86" s="16" t="n">
        <v>175</v>
      </c>
      <c r="F86" s="16" t="n">
        <v>7</v>
      </c>
      <c r="G86" s="16" t="n">
        <v>126</v>
      </c>
    </row>
    <row r="87">
      <c r="A87" s="16" t="inlineStr">
        <is>
          <t>Campaign A</t>
        </is>
      </c>
      <c r="B87" s="16" t="inlineStr">
        <is>
          <t>Ad C</t>
        </is>
      </c>
      <c r="C87" s="17" t="n">
        <v>45965</v>
      </c>
      <c r="D87" s="16" t="n">
        <v>11836</v>
      </c>
      <c r="E87" s="16" t="n">
        <v>170</v>
      </c>
      <c r="F87" s="16" t="n">
        <v>10</v>
      </c>
      <c r="G87" s="16" t="n">
        <v>110</v>
      </c>
    </row>
    <row r="88">
      <c r="A88" s="16" t="inlineStr">
        <is>
          <t>Campaign A</t>
        </is>
      </c>
      <c r="B88" s="16" t="inlineStr">
        <is>
          <t>Ad C</t>
        </is>
      </c>
      <c r="C88" s="17" t="n">
        <v>45966</v>
      </c>
      <c r="D88" s="16" t="n">
        <v>13191</v>
      </c>
      <c r="E88" s="16" t="n">
        <v>200</v>
      </c>
      <c r="F88" s="16" t="n">
        <v>8</v>
      </c>
      <c r="G88" s="16" t="n">
        <v>103</v>
      </c>
    </row>
    <row r="89">
      <c r="A89" s="16" t="inlineStr">
        <is>
          <t>Campaign A</t>
        </is>
      </c>
      <c r="B89" s="16" t="inlineStr">
        <is>
          <t>Ad C</t>
        </is>
      </c>
      <c r="C89" s="17" t="n">
        <v>45967</v>
      </c>
      <c r="D89" s="16" t="n">
        <v>11056</v>
      </c>
      <c r="E89" s="16" t="n">
        <v>168</v>
      </c>
      <c r="F89" s="16" t="n">
        <v>5</v>
      </c>
      <c r="G89" s="16" t="n">
        <v>83</v>
      </c>
    </row>
    <row r="90">
      <c r="A90" s="16" t="inlineStr">
        <is>
          <t>Campaign A</t>
        </is>
      </c>
      <c r="B90" s="16" t="inlineStr">
        <is>
          <t>Ad C</t>
        </is>
      </c>
      <c r="C90" s="17" t="n">
        <v>45968</v>
      </c>
      <c r="D90" s="16" t="n">
        <v>6644</v>
      </c>
      <c r="E90" s="16" t="n">
        <v>102</v>
      </c>
      <c r="F90" s="16" t="n">
        <v>1</v>
      </c>
      <c r="G90" s="16" t="n">
        <v>56</v>
      </c>
    </row>
    <row r="91">
      <c r="A91" s="16" t="inlineStr">
        <is>
          <t>Campaign A</t>
        </is>
      </c>
      <c r="B91" s="16" t="inlineStr">
        <is>
          <t>Ad C</t>
        </is>
      </c>
      <c r="C91" s="17" t="n">
        <v>45969</v>
      </c>
      <c r="D91" s="16" t="n">
        <v>931</v>
      </c>
      <c r="E91" s="16" t="n">
        <v>12</v>
      </c>
      <c r="F91" s="16" t="n">
        <v>1</v>
      </c>
      <c r="G91" s="16" t="n">
        <v>9</v>
      </c>
    </row>
    <row r="92">
      <c r="A92" s="16" t="inlineStr">
        <is>
          <t>Campaign A</t>
        </is>
      </c>
      <c r="B92" s="16" t="inlineStr">
        <is>
          <t>Ad C</t>
        </is>
      </c>
      <c r="C92" s="17" t="n">
        <v>45970</v>
      </c>
      <c r="D92" s="16" t="n">
        <v>2353</v>
      </c>
      <c r="E92" s="16" t="n">
        <v>26</v>
      </c>
      <c r="F92" s="16" t="n">
        <v>3</v>
      </c>
      <c r="G92" s="16" t="n">
        <v>16</v>
      </c>
    </row>
    <row r="93">
      <c r="A93" s="16" t="inlineStr">
        <is>
          <t>Campaign A</t>
        </is>
      </c>
      <c r="B93" s="16" t="inlineStr">
        <is>
          <t>Ad C</t>
        </is>
      </c>
      <c r="C93" s="17" t="n">
        <v>45971</v>
      </c>
      <c r="D93" s="16" t="n">
        <v>0</v>
      </c>
      <c r="E93" s="16" t="n">
        <v>0</v>
      </c>
      <c r="F93" s="16" t="n">
        <v>1</v>
      </c>
      <c r="G93" s="16" t="n">
        <v>0</v>
      </c>
    </row>
    <row r="94">
      <c r="A94" s="16" t="inlineStr">
        <is>
          <t>Campaign A</t>
        </is>
      </c>
      <c r="B94" s="16" t="inlineStr">
        <is>
          <t>Ad C</t>
        </is>
      </c>
      <c r="C94" s="17" t="n">
        <v>45972</v>
      </c>
      <c r="D94" s="16" t="n">
        <v>2382</v>
      </c>
      <c r="E94" s="16" t="n">
        <v>30</v>
      </c>
      <c r="F94" s="16" t="n">
        <v>0</v>
      </c>
      <c r="G94" s="16" t="n">
        <v>21</v>
      </c>
    </row>
    <row r="95">
      <c r="A95" s="16" t="inlineStr">
        <is>
          <t>Campaign A</t>
        </is>
      </c>
      <c r="B95" s="16" t="inlineStr">
        <is>
          <t>Ad C</t>
        </is>
      </c>
      <c r="C95" s="17" t="n">
        <v>45973</v>
      </c>
      <c r="D95" s="16" t="n">
        <v>21</v>
      </c>
      <c r="E95" s="16" t="n">
        <v>0</v>
      </c>
      <c r="F95" s="16" t="n">
        <v>0</v>
      </c>
      <c r="G95" s="16" t="n">
        <v>0</v>
      </c>
    </row>
    <row r="96">
      <c r="A96" s="16" t="inlineStr">
        <is>
          <t>Campaign A</t>
        </is>
      </c>
      <c r="B96" s="16" t="inlineStr">
        <is>
          <t>Ad C</t>
        </is>
      </c>
      <c r="C96" s="17" t="n">
        <v>45974</v>
      </c>
      <c r="D96" s="16" t="n">
        <v>1467</v>
      </c>
      <c r="E96" s="16" t="n">
        <v>27</v>
      </c>
      <c r="F96" s="16" t="n">
        <v>1</v>
      </c>
      <c r="G96" s="16" t="n">
        <v>15</v>
      </c>
    </row>
    <row r="97">
      <c r="A97" s="16" t="inlineStr">
        <is>
          <t>Campaign A</t>
        </is>
      </c>
      <c r="B97" s="16" t="inlineStr">
        <is>
          <t>Ad C</t>
        </is>
      </c>
      <c r="C97" s="17" t="n">
        <v>45975</v>
      </c>
      <c r="D97" s="16" t="n">
        <v>3567</v>
      </c>
      <c r="E97" s="16" t="n">
        <v>56</v>
      </c>
      <c r="F97" s="16" t="n">
        <v>5</v>
      </c>
      <c r="G97" s="16" t="n">
        <v>31</v>
      </c>
    </row>
    <row r="98">
      <c r="A98" s="16" t="inlineStr">
        <is>
          <t>Campaign A</t>
        </is>
      </c>
      <c r="B98" s="16" t="inlineStr">
        <is>
          <t>Ad C</t>
        </is>
      </c>
      <c r="C98" s="17" t="n">
        <v>45976</v>
      </c>
      <c r="D98" s="16" t="n">
        <v>2042</v>
      </c>
      <c r="E98" s="16" t="n">
        <v>31</v>
      </c>
      <c r="F98" s="16" t="n">
        <v>0</v>
      </c>
      <c r="G98" s="16" t="n">
        <v>18</v>
      </c>
    </row>
    <row r="99">
      <c r="A99" s="16" t="inlineStr">
        <is>
          <t>Campaign A</t>
        </is>
      </c>
      <c r="B99" s="16" t="inlineStr">
        <is>
          <t>Ad C</t>
        </is>
      </c>
      <c r="C99" s="17" t="n">
        <v>45977</v>
      </c>
      <c r="D99" s="16" t="n">
        <v>1997</v>
      </c>
      <c r="E99" s="16" t="n">
        <v>28</v>
      </c>
      <c r="F99" s="16" t="n">
        <v>2</v>
      </c>
      <c r="G99" s="16" t="n">
        <v>20</v>
      </c>
    </row>
    <row r="100">
      <c r="A100" s="16" t="inlineStr">
        <is>
          <t>Campaign A</t>
        </is>
      </c>
      <c r="B100" s="16" t="inlineStr">
        <is>
          <t>Ad C</t>
        </is>
      </c>
      <c r="C100" s="17" t="n">
        <v>45978</v>
      </c>
      <c r="D100" s="16" t="n">
        <v>1221</v>
      </c>
      <c r="E100" s="16" t="n">
        <v>13</v>
      </c>
      <c r="F100" s="16" t="n">
        <v>0</v>
      </c>
      <c r="G100" s="16" t="n">
        <v>7</v>
      </c>
    </row>
    <row r="101">
      <c r="A101" s="16" t="inlineStr">
        <is>
          <t>Campaign A</t>
        </is>
      </c>
      <c r="B101" s="16" t="inlineStr">
        <is>
          <t>Ad C</t>
        </is>
      </c>
      <c r="C101" s="17" t="n">
        <v>45979</v>
      </c>
      <c r="D101" s="16" t="n">
        <v>7816</v>
      </c>
      <c r="E101" s="16" t="n">
        <v>95</v>
      </c>
      <c r="F101" s="16" t="n">
        <v>2</v>
      </c>
      <c r="G101" s="16" t="n">
        <v>61</v>
      </c>
    </row>
    <row r="102">
      <c r="A102" s="16" t="inlineStr">
        <is>
          <t>Campaign A</t>
        </is>
      </c>
      <c r="B102" s="16" t="inlineStr">
        <is>
          <t>Ad C</t>
        </is>
      </c>
      <c r="C102" s="17" t="n">
        <v>45980</v>
      </c>
      <c r="D102" s="16" t="n">
        <v>3711</v>
      </c>
      <c r="E102" s="16" t="n">
        <v>52</v>
      </c>
      <c r="F102" s="16" t="n">
        <v>0</v>
      </c>
      <c r="G102" s="16" t="n">
        <v>25</v>
      </c>
    </row>
    <row r="103">
      <c r="A103" s="16" t="inlineStr">
        <is>
          <t>Campaign A</t>
        </is>
      </c>
      <c r="B103" s="16" t="inlineStr">
        <is>
          <t>Ad C</t>
        </is>
      </c>
      <c r="C103" s="17" t="n">
        <v>45981</v>
      </c>
      <c r="D103" s="16" t="n">
        <v>4005</v>
      </c>
      <c r="E103" s="16" t="n">
        <v>64</v>
      </c>
      <c r="F103" s="16" t="n">
        <v>3</v>
      </c>
      <c r="G103" s="16" t="n">
        <v>32</v>
      </c>
    </row>
    <row r="104">
      <c r="A104" s="16" t="inlineStr">
        <is>
          <t>Campaign A</t>
        </is>
      </c>
      <c r="B104" s="16" t="inlineStr">
        <is>
          <t>Ad C</t>
        </is>
      </c>
      <c r="C104" s="17" t="n">
        <v>45982</v>
      </c>
      <c r="D104" s="16" t="n">
        <v>4281</v>
      </c>
      <c r="E104" s="16" t="n">
        <v>70</v>
      </c>
      <c r="F104" s="16" t="n">
        <v>5</v>
      </c>
      <c r="G104" s="16" t="n">
        <v>35</v>
      </c>
    </row>
    <row r="105">
      <c r="A105" s="16" t="inlineStr">
        <is>
          <t>Campaign A</t>
        </is>
      </c>
      <c r="B105" s="16" t="inlineStr">
        <is>
          <t>Ad C</t>
        </is>
      </c>
      <c r="C105" s="17" t="n">
        <v>45983</v>
      </c>
      <c r="D105" s="16" t="n">
        <v>3571</v>
      </c>
      <c r="E105" s="16" t="n">
        <v>62</v>
      </c>
      <c r="F105" s="16" t="n">
        <v>3</v>
      </c>
      <c r="G105" s="16" t="n">
        <v>30</v>
      </c>
    </row>
    <row r="106">
      <c r="A106" s="16" t="inlineStr">
        <is>
          <t>Campaign A</t>
        </is>
      </c>
      <c r="B106" s="16" t="inlineStr">
        <is>
          <t>Ad C</t>
        </is>
      </c>
      <c r="C106" s="17" t="n">
        <v>45984</v>
      </c>
      <c r="D106" s="16" t="n">
        <v>2116</v>
      </c>
      <c r="E106" s="16" t="n">
        <v>36</v>
      </c>
      <c r="F106" s="16" t="n">
        <v>1</v>
      </c>
      <c r="G106" s="16" t="n">
        <v>17</v>
      </c>
    </row>
    <row r="107">
      <c r="A107" s="16" t="inlineStr">
        <is>
          <t>Campaign A</t>
        </is>
      </c>
      <c r="B107" s="16" t="inlineStr">
        <is>
          <t>Ad H</t>
        </is>
      </c>
      <c r="C107" s="17" t="n">
        <v>45943</v>
      </c>
      <c r="D107" s="16" t="n">
        <v>100228</v>
      </c>
      <c r="E107" s="16" t="n">
        <v>1052.92</v>
      </c>
      <c r="F107" s="16" t="n">
        <v>62</v>
      </c>
      <c r="G107" s="16" t="n">
        <v>568</v>
      </c>
    </row>
    <row r="108">
      <c r="A108" s="16" t="inlineStr">
        <is>
          <t>Campaign A</t>
        </is>
      </c>
      <c r="B108" s="16" t="inlineStr">
        <is>
          <t>Ad H</t>
        </is>
      </c>
      <c r="C108" s="17" t="n">
        <v>45944</v>
      </c>
      <c r="D108" s="16" t="n">
        <v>100375</v>
      </c>
      <c r="E108" s="16" t="n">
        <v>1026.12</v>
      </c>
      <c r="F108" s="16" t="n">
        <v>41</v>
      </c>
      <c r="G108" s="16" t="n">
        <v>467</v>
      </c>
    </row>
    <row r="109">
      <c r="A109" s="16" t="inlineStr">
        <is>
          <t>Campaign A</t>
        </is>
      </c>
      <c r="B109" s="16" t="inlineStr">
        <is>
          <t>Ad H</t>
        </is>
      </c>
      <c r="C109" s="17" t="n">
        <v>45945</v>
      </c>
      <c r="D109" s="16" t="n">
        <v>125460</v>
      </c>
      <c r="E109" s="16" t="n">
        <v>1325.88</v>
      </c>
      <c r="F109" s="16" t="n">
        <v>49</v>
      </c>
      <c r="G109" s="16" t="n">
        <v>644</v>
      </c>
    </row>
    <row r="110">
      <c r="A110" s="16" t="inlineStr">
        <is>
          <t>Campaign A</t>
        </is>
      </c>
      <c r="B110" s="16" t="inlineStr">
        <is>
          <t>Ad H</t>
        </is>
      </c>
      <c r="C110" s="17" t="n">
        <v>45946</v>
      </c>
      <c r="D110" s="16" t="n">
        <v>101417</v>
      </c>
      <c r="E110" s="16" t="n">
        <v>1255.43</v>
      </c>
      <c r="F110" s="16" t="n">
        <v>33</v>
      </c>
      <c r="G110" s="16" t="n">
        <v>495</v>
      </c>
    </row>
    <row r="111">
      <c r="A111" s="16" t="inlineStr">
        <is>
          <t>Campaign A</t>
        </is>
      </c>
      <c r="B111" s="16" t="inlineStr">
        <is>
          <t>Ad H</t>
        </is>
      </c>
      <c r="C111" s="17" t="n">
        <v>45947</v>
      </c>
      <c r="D111" s="16" t="n">
        <v>109316</v>
      </c>
      <c r="E111" s="16" t="n">
        <v>1300.22</v>
      </c>
      <c r="F111" s="16" t="n">
        <v>54</v>
      </c>
      <c r="G111" s="16" t="n">
        <v>518</v>
      </c>
    </row>
    <row r="112">
      <c r="A112" s="16" t="inlineStr">
        <is>
          <t>Campaign A</t>
        </is>
      </c>
      <c r="B112" s="16" t="inlineStr">
        <is>
          <t>Ad H</t>
        </is>
      </c>
      <c r="C112" s="17" t="n">
        <v>45948</v>
      </c>
      <c r="D112" s="16" t="n">
        <v>155729</v>
      </c>
      <c r="E112" s="16" t="n">
        <v>1735.24</v>
      </c>
      <c r="F112" s="16" t="n">
        <v>70</v>
      </c>
      <c r="G112" s="16" t="n">
        <v>708</v>
      </c>
    </row>
    <row r="113">
      <c r="A113" s="16" t="inlineStr">
        <is>
          <t>Campaign A</t>
        </is>
      </c>
      <c r="B113" s="16" t="inlineStr">
        <is>
          <t>Ad H</t>
        </is>
      </c>
      <c r="C113" s="17" t="n">
        <v>45949</v>
      </c>
      <c r="D113" s="16" t="n">
        <v>121561</v>
      </c>
      <c r="E113" s="16" t="n">
        <v>1440.1</v>
      </c>
      <c r="F113" s="16" t="n">
        <v>37</v>
      </c>
      <c r="G113" s="16" t="n">
        <v>770</v>
      </c>
    </row>
    <row r="114">
      <c r="A114" s="16" t="inlineStr">
        <is>
          <t>Campaign A</t>
        </is>
      </c>
      <c r="B114" s="16" t="inlineStr">
        <is>
          <t>Ad H</t>
        </is>
      </c>
      <c r="C114" s="17" t="n">
        <v>45950</v>
      </c>
      <c r="D114" s="16" t="n">
        <v>104843</v>
      </c>
      <c r="E114" s="16" t="n">
        <v>1023.81</v>
      </c>
      <c r="F114" s="16" t="n">
        <v>53</v>
      </c>
      <c r="G114" s="16" t="n">
        <v>752</v>
      </c>
    </row>
    <row r="115">
      <c r="A115" s="16" t="inlineStr">
        <is>
          <t>Campaign A</t>
        </is>
      </c>
      <c r="B115" s="16" t="inlineStr">
        <is>
          <t>Ad H</t>
        </is>
      </c>
      <c r="C115" s="17" t="n">
        <v>45951</v>
      </c>
      <c r="D115" s="16" t="n">
        <v>135876</v>
      </c>
      <c r="E115" s="16" t="n">
        <v>1234.13</v>
      </c>
      <c r="F115" s="16" t="n">
        <v>57</v>
      </c>
      <c r="G115" s="16" t="n">
        <v>967</v>
      </c>
    </row>
    <row r="116">
      <c r="A116" s="16" t="inlineStr">
        <is>
          <t>Campaign A</t>
        </is>
      </c>
      <c r="B116" s="16" t="inlineStr">
        <is>
          <t>Ad H</t>
        </is>
      </c>
      <c r="C116" s="17" t="n">
        <v>45952</v>
      </c>
      <c r="D116" s="16" t="n">
        <v>123590</v>
      </c>
      <c r="E116" s="16" t="n">
        <v>1283.97</v>
      </c>
      <c r="F116" s="16" t="n">
        <v>60</v>
      </c>
      <c r="G116" s="16" t="n">
        <v>695</v>
      </c>
    </row>
    <row r="117">
      <c r="A117" s="16" t="inlineStr">
        <is>
          <t>Campaign A</t>
        </is>
      </c>
      <c r="B117" s="16" t="inlineStr">
        <is>
          <t>Ad H</t>
        </is>
      </c>
      <c r="C117" s="17" t="n">
        <v>45953</v>
      </c>
      <c r="D117" s="16" t="n">
        <v>121819</v>
      </c>
      <c r="E117" s="16" t="n">
        <v>1335.08</v>
      </c>
      <c r="F117" s="16" t="n">
        <v>70</v>
      </c>
      <c r="G117" s="16" t="n">
        <v>724</v>
      </c>
    </row>
    <row r="118">
      <c r="A118" s="16" t="inlineStr">
        <is>
          <t>Campaign A</t>
        </is>
      </c>
      <c r="B118" s="16" t="inlineStr">
        <is>
          <t>Ad H</t>
        </is>
      </c>
      <c r="C118" s="17" t="n">
        <v>45954</v>
      </c>
      <c r="D118" s="16" t="n">
        <v>133303</v>
      </c>
      <c r="E118" s="16" t="n">
        <v>1448.95</v>
      </c>
      <c r="F118" s="16" t="n">
        <v>54</v>
      </c>
      <c r="G118" s="16" t="n">
        <v>760</v>
      </c>
    </row>
    <row r="119">
      <c r="A119" s="16" t="inlineStr">
        <is>
          <t>Campaign A</t>
        </is>
      </c>
      <c r="B119" s="16" t="inlineStr">
        <is>
          <t>Ad H</t>
        </is>
      </c>
      <c r="C119" s="17" t="n">
        <v>45955</v>
      </c>
      <c r="D119" s="16" t="n">
        <v>142345</v>
      </c>
      <c r="E119" s="16" t="n">
        <v>1550.16</v>
      </c>
      <c r="F119" s="16" t="n">
        <v>91</v>
      </c>
      <c r="G119" s="16" t="n">
        <v>717</v>
      </c>
    </row>
    <row r="120">
      <c r="A120" s="16" t="inlineStr">
        <is>
          <t>Campaign A</t>
        </is>
      </c>
      <c r="B120" s="16" t="inlineStr">
        <is>
          <t>Ad H</t>
        </is>
      </c>
      <c r="C120" s="17" t="n">
        <v>45956</v>
      </c>
      <c r="D120" s="16" t="n">
        <v>110467</v>
      </c>
      <c r="E120" s="16" t="n">
        <v>1246.28</v>
      </c>
      <c r="F120" s="16" t="n">
        <v>61</v>
      </c>
      <c r="G120" s="16" t="n">
        <v>587</v>
      </c>
    </row>
    <row r="121">
      <c r="A121" s="16" t="inlineStr">
        <is>
          <t>Campaign A</t>
        </is>
      </c>
      <c r="B121" s="16" t="inlineStr">
        <is>
          <t>Ad H</t>
        </is>
      </c>
      <c r="C121" s="17" t="n">
        <v>45957</v>
      </c>
      <c r="D121" s="16" t="n">
        <v>136953</v>
      </c>
      <c r="E121" s="16" t="n">
        <v>1375.43</v>
      </c>
      <c r="F121" s="16" t="n">
        <v>61</v>
      </c>
      <c r="G121" s="16" t="n">
        <v>716</v>
      </c>
    </row>
    <row r="122">
      <c r="A122" s="16" t="inlineStr">
        <is>
          <t>Campaign A</t>
        </is>
      </c>
      <c r="B122" s="16" t="inlineStr">
        <is>
          <t>Ad H</t>
        </is>
      </c>
      <c r="C122" s="17" t="n">
        <v>45958</v>
      </c>
      <c r="D122" s="16" t="n">
        <v>147128</v>
      </c>
      <c r="E122" s="16" t="n">
        <v>1449.84</v>
      </c>
      <c r="F122" s="16" t="n">
        <v>97</v>
      </c>
      <c r="G122" s="16" t="n">
        <v>698</v>
      </c>
    </row>
    <row r="123">
      <c r="A123" s="16" t="inlineStr">
        <is>
          <t>Campaign A</t>
        </is>
      </c>
      <c r="B123" s="16" t="inlineStr">
        <is>
          <t>Ad H</t>
        </is>
      </c>
      <c r="C123" s="17" t="n">
        <v>45959</v>
      </c>
      <c r="D123" s="16" t="n">
        <v>141819</v>
      </c>
      <c r="E123" s="16" t="n">
        <v>1556.27</v>
      </c>
      <c r="F123" s="16" t="n">
        <v>69</v>
      </c>
      <c r="G123" s="16" t="n">
        <v>619</v>
      </c>
    </row>
    <row r="124">
      <c r="A124" s="16" t="inlineStr">
        <is>
          <t>Campaign A</t>
        </is>
      </c>
      <c r="B124" s="16" t="inlineStr">
        <is>
          <t>Ad H</t>
        </is>
      </c>
      <c r="C124" s="17" t="n">
        <v>45960</v>
      </c>
      <c r="D124" s="16" t="n">
        <v>109124</v>
      </c>
      <c r="E124" s="16" t="n">
        <v>1286.03</v>
      </c>
      <c r="F124" s="16" t="n">
        <v>62</v>
      </c>
      <c r="G124" s="16" t="n">
        <v>520</v>
      </c>
    </row>
    <row r="125">
      <c r="A125" s="16" t="inlineStr">
        <is>
          <t>Campaign A</t>
        </is>
      </c>
      <c r="B125" s="16" t="inlineStr">
        <is>
          <t>Ad H</t>
        </is>
      </c>
      <c r="C125" s="17" t="n">
        <v>45961</v>
      </c>
      <c r="D125" s="16" t="n">
        <v>130384</v>
      </c>
      <c r="E125" s="16" t="n">
        <v>1568.01</v>
      </c>
      <c r="F125" s="16" t="n">
        <v>46</v>
      </c>
      <c r="G125" s="16" t="n">
        <v>546</v>
      </c>
    </row>
    <row r="126">
      <c r="A126" s="16" t="inlineStr">
        <is>
          <t>Campaign A</t>
        </is>
      </c>
      <c r="B126" s="16" t="inlineStr">
        <is>
          <t>Ad H</t>
        </is>
      </c>
      <c r="C126" s="17" t="n">
        <v>45962</v>
      </c>
      <c r="D126" s="16" t="n">
        <v>95313</v>
      </c>
      <c r="E126" s="16" t="n">
        <v>1216.87</v>
      </c>
      <c r="F126" s="16" t="n">
        <v>47</v>
      </c>
      <c r="G126" s="16" t="n">
        <v>428</v>
      </c>
    </row>
    <row r="127">
      <c r="A127" s="16" t="inlineStr">
        <is>
          <t>Campaign A</t>
        </is>
      </c>
      <c r="B127" s="16" t="inlineStr">
        <is>
          <t>Ad H</t>
        </is>
      </c>
      <c r="C127" s="17" t="n">
        <v>45963</v>
      </c>
      <c r="D127" s="16" t="n">
        <v>98304</v>
      </c>
      <c r="E127" s="16" t="n">
        <v>1093.02</v>
      </c>
      <c r="F127" s="16" t="n">
        <v>27</v>
      </c>
      <c r="G127" s="16" t="n">
        <v>536</v>
      </c>
    </row>
    <row r="128">
      <c r="A128" s="16" t="inlineStr">
        <is>
          <t>Campaign A</t>
        </is>
      </c>
      <c r="B128" s="16" t="inlineStr">
        <is>
          <t>Ad H</t>
        </is>
      </c>
      <c r="C128" s="17" t="n">
        <v>45964</v>
      </c>
      <c r="D128" s="16" t="n">
        <v>76188</v>
      </c>
      <c r="E128" s="16" t="n">
        <v>846</v>
      </c>
      <c r="F128" s="16" t="n">
        <v>36</v>
      </c>
      <c r="G128" s="16" t="n">
        <v>365</v>
      </c>
    </row>
    <row r="129">
      <c r="A129" s="16" t="inlineStr">
        <is>
          <t>Campaign A</t>
        </is>
      </c>
      <c r="B129" s="16" t="inlineStr">
        <is>
          <t>Ad H</t>
        </is>
      </c>
      <c r="C129" s="17" t="n">
        <v>45965</v>
      </c>
      <c r="D129" s="16" t="n">
        <v>59028</v>
      </c>
      <c r="E129" s="16" t="n">
        <v>619</v>
      </c>
      <c r="F129" s="16" t="n">
        <v>22</v>
      </c>
      <c r="G129" s="16" t="n">
        <v>264</v>
      </c>
    </row>
    <row r="130">
      <c r="A130" s="16" t="inlineStr">
        <is>
          <t>Campaign A</t>
        </is>
      </c>
      <c r="B130" s="16" t="inlineStr">
        <is>
          <t>Ad H</t>
        </is>
      </c>
      <c r="C130" s="17" t="n">
        <v>45966</v>
      </c>
      <c r="D130" s="16" t="n">
        <v>59152</v>
      </c>
      <c r="E130" s="16" t="n">
        <v>676</v>
      </c>
      <c r="F130" s="16" t="n">
        <v>27</v>
      </c>
      <c r="G130" s="16" t="n">
        <v>307</v>
      </c>
    </row>
    <row r="131">
      <c r="A131" s="16" t="inlineStr">
        <is>
          <t>Campaign A</t>
        </is>
      </c>
      <c r="B131" s="16" t="inlineStr">
        <is>
          <t>Ad H</t>
        </is>
      </c>
      <c r="C131" s="17" t="n">
        <v>45967</v>
      </c>
      <c r="D131" s="16" t="n">
        <v>51666</v>
      </c>
      <c r="E131" s="16" t="n">
        <v>633</v>
      </c>
      <c r="F131" s="16" t="n">
        <v>19</v>
      </c>
      <c r="G131" s="16" t="n">
        <v>279</v>
      </c>
    </row>
    <row r="132">
      <c r="A132" s="16" t="inlineStr">
        <is>
          <t>Campaign A</t>
        </is>
      </c>
      <c r="B132" s="16" t="inlineStr">
        <is>
          <t>Ad H</t>
        </is>
      </c>
      <c r="C132" s="17" t="n">
        <v>45968</v>
      </c>
      <c r="D132" s="16" t="n">
        <v>29840</v>
      </c>
      <c r="E132" s="16" t="n">
        <v>357</v>
      </c>
      <c r="F132" s="16" t="n">
        <v>11</v>
      </c>
      <c r="G132" s="16" t="n">
        <v>172</v>
      </c>
    </row>
    <row r="133">
      <c r="A133" s="16" t="inlineStr">
        <is>
          <t>Campaign A</t>
        </is>
      </c>
      <c r="B133" s="16" t="inlineStr">
        <is>
          <t>Ad H</t>
        </is>
      </c>
      <c r="C133" s="17" t="n">
        <v>45969</v>
      </c>
      <c r="D133" s="16" t="n">
        <v>4817</v>
      </c>
      <c r="E133" s="16" t="n">
        <v>50</v>
      </c>
      <c r="F133" s="16" t="n">
        <v>3</v>
      </c>
      <c r="G133" s="16" t="n">
        <v>27</v>
      </c>
    </row>
    <row r="134">
      <c r="A134" s="16" t="inlineStr">
        <is>
          <t>Campaign A</t>
        </is>
      </c>
      <c r="B134" s="16" t="inlineStr">
        <is>
          <t>Ad H</t>
        </is>
      </c>
      <c r="C134" s="17" t="n">
        <v>45970</v>
      </c>
      <c r="D134" s="16" t="n">
        <v>31118</v>
      </c>
      <c r="E134" s="16" t="n">
        <v>311</v>
      </c>
      <c r="F134" s="16" t="n">
        <v>16</v>
      </c>
      <c r="G134" s="16" t="n">
        <v>195</v>
      </c>
    </row>
    <row r="135">
      <c r="A135" s="16" t="inlineStr">
        <is>
          <t>Campaign A</t>
        </is>
      </c>
      <c r="B135" s="16" t="inlineStr">
        <is>
          <t>Ad H</t>
        </is>
      </c>
      <c r="C135" s="17" t="n">
        <v>45972</v>
      </c>
      <c r="D135" s="16" t="n">
        <v>19924</v>
      </c>
      <c r="E135" s="16" t="n">
        <v>199</v>
      </c>
      <c r="F135" s="16" t="n">
        <v>10</v>
      </c>
      <c r="G135" s="16" t="n">
        <v>128</v>
      </c>
    </row>
    <row r="136">
      <c r="A136" s="16" t="inlineStr">
        <is>
          <t>Campaign A</t>
        </is>
      </c>
      <c r="B136" s="16" t="inlineStr">
        <is>
          <t>Ad H</t>
        </is>
      </c>
      <c r="C136" s="17" t="n">
        <v>45973</v>
      </c>
      <c r="D136" s="16" t="n">
        <v>4788</v>
      </c>
      <c r="E136" s="16" t="n">
        <v>51</v>
      </c>
      <c r="F136" s="16" t="n">
        <v>1</v>
      </c>
      <c r="G136" s="16" t="n">
        <v>21</v>
      </c>
    </row>
    <row r="137">
      <c r="A137" s="16" t="inlineStr">
        <is>
          <t>Campaign A</t>
        </is>
      </c>
      <c r="B137" s="16" t="inlineStr">
        <is>
          <t>Ad H</t>
        </is>
      </c>
      <c r="C137" s="17" t="n">
        <v>45974</v>
      </c>
      <c r="D137" s="16" t="n">
        <v>18986</v>
      </c>
      <c r="E137" s="16" t="n">
        <v>236</v>
      </c>
      <c r="F137" s="16" t="n">
        <v>14</v>
      </c>
      <c r="G137" s="16" t="n">
        <v>102</v>
      </c>
    </row>
    <row r="138">
      <c r="A138" s="16" t="inlineStr">
        <is>
          <t>Campaign A</t>
        </is>
      </c>
      <c r="B138" s="16" t="inlineStr">
        <is>
          <t>Ad H</t>
        </is>
      </c>
      <c r="C138" s="17" t="n">
        <v>45975</v>
      </c>
      <c r="D138" s="16" t="n">
        <v>22510</v>
      </c>
      <c r="E138" s="16" t="n">
        <v>288</v>
      </c>
      <c r="F138" s="16" t="n">
        <v>6</v>
      </c>
      <c r="G138" s="16" t="n">
        <v>121</v>
      </c>
    </row>
    <row r="139">
      <c r="A139" s="16" t="inlineStr">
        <is>
          <t>Campaign A</t>
        </is>
      </c>
      <c r="B139" s="16" t="inlineStr">
        <is>
          <t>Ad H</t>
        </is>
      </c>
      <c r="C139" s="17" t="n">
        <v>45976</v>
      </c>
      <c r="D139" s="16" t="n">
        <v>42384</v>
      </c>
      <c r="E139" s="16" t="n">
        <v>490</v>
      </c>
      <c r="F139" s="16" t="n">
        <v>20</v>
      </c>
      <c r="G139" s="16" t="n">
        <v>180</v>
      </c>
    </row>
    <row r="140">
      <c r="A140" s="16" t="inlineStr">
        <is>
          <t>Campaign A</t>
        </is>
      </c>
      <c r="B140" s="16" t="inlineStr">
        <is>
          <t>Ad H</t>
        </is>
      </c>
      <c r="C140" s="17" t="n">
        <v>45977</v>
      </c>
      <c r="D140" s="16" t="n">
        <v>34040</v>
      </c>
      <c r="E140" s="16" t="n">
        <v>411</v>
      </c>
      <c r="F140" s="16" t="n">
        <v>12</v>
      </c>
      <c r="G140" s="16" t="n">
        <v>148</v>
      </c>
    </row>
    <row r="141">
      <c r="A141" s="16" t="inlineStr">
        <is>
          <t>Campaign A</t>
        </is>
      </c>
      <c r="B141" s="16" t="inlineStr">
        <is>
          <t>Ad H</t>
        </is>
      </c>
      <c r="C141" s="17" t="n">
        <v>45978</v>
      </c>
      <c r="D141" s="16" t="n">
        <v>24961</v>
      </c>
      <c r="E141" s="16" t="n">
        <v>236</v>
      </c>
      <c r="F141" s="16" t="n">
        <v>13</v>
      </c>
      <c r="G141" s="16" t="n">
        <v>120</v>
      </c>
    </row>
    <row r="142">
      <c r="A142" s="16" t="inlineStr">
        <is>
          <t>Campaign A</t>
        </is>
      </c>
      <c r="B142" s="16" t="inlineStr">
        <is>
          <t>Ad H</t>
        </is>
      </c>
      <c r="C142" s="17" t="n">
        <v>45979</v>
      </c>
      <c r="D142" s="16" t="n">
        <v>56830</v>
      </c>
      <c r="E142" s="16" t="n">
        <v>618</v>
      </c>
      <c r="F142" s="16" t="n">
        <v>23</v>
      </c>
      <c r="G142" s="16" t="n">
        <v>226</v>
      </c>
    </row>
    <row r="143">
      <c r="A143" s="16" t="inlineStr">
        <is>
          <t>Campaign A</t>
        </is>
      </c>
      <c r="B143" s="16" t="inlineStr">
        <is>
          <t>Ad H</t>
        </is>
      </c>
      <c r="C143" s="17" t="n">
        <v>45980</v>
      </c>
      <c r="D143" s="16" t="n">
        <v>21808</v>
      </c>
      <c r="E143" s="16" t="n">
        <v>268</v>
      </c>
      <c r="F143" s="16" t="n">
        <v>13</v>
      </c>
      <c r="G143" s="16" t="n">
        <v>89</v>
      </c>
    </row>
    <row r="144">
      <c r="A144" s="16" t="inlineStr">
        <is>
          <t>Campaign A</t>
        </is>
      </c>
      <c r="B144" s="16" t="inlineStr">
        <is>
          <t>Ad H</t>
        </is>
      </c>
      <c r="C144" s="17" t="n">
        <v>45981</v>
      </c>
      <c r="D144" s="16" t="n">
        <v>32706</v>
      </c>
      <c r="E144" s="16" t="n">
        <v>415</v>
      </c>
      <c r="F144" s="16" t="n">
        <v>16</v>
      </c>
      <c r="G144" s="16" t="n">
        <v>135</v>
      </c>
    </row>
    <row r="145">
      <c r="A145" s="16" t="inlineStr">
        <is>
          <t>Campaign A</t>
        </is>
      </c>
      <c r="B145" s="16" t="inlineStr">
        <is>
          <t>Ad H</t>
        </is>
      </c>
      <c r="C145" s="17" t="n">
        <v>45982</v>
      </c>
      <c r="D145" s="16" t="n">
        <v>31316</v>
      </c>
      <c r="E145" s="16" t="n">
        <v>401</v>
      </c>
      <c r="F145" s="16" t="n">
        <v>15</v>
      </c>
      <c r="G145" s="16" t="n">
        <v>150</v>
      </c>
    </row>
    <row r="146">
      <c r="A146" s="16" t="inlineStr">
        <is>
          <t>Campaign A</t>
        </is>
      </c>
      <c r="B146" s="16" t="inlineStr">
        <is>
          <t>Ad H</t>
        </is>
      </c>
      <c r="C146" s="17" t="n">
        <v>45983</v>
      </c>
      <c r="D146" s="16" t="n">
        <v>24545</v>
      </c>
      <c r="E146" s="16" t="n">
        <v>315</v>
      </c>
      <c r="F146" s="16" t="n">
        <v>12</v>
      </c>
      <c r="G146" s="16" t="n">
        <v>140</v>
      </c>
    </row>
    <row r="147">
      <c r="A147" s="16" t="inlineStr">
        <is>
          <t>Campaign A</t>
        </is>
      </c>
      <c r="B147" s="16" t="inlineStr">
        <is>
          <t>Ad H</t>
        </is>
      </c>
      <c r="C147" s="17" t="n">
        <v>45984</v>
      </c>
      <c r="D147" s="16" t="n">
        <v>23046</v>
      </c>
      <c r="E147" s="16" t="n">
        <v>307</v>
      </c>
      <c r="F147" s="16" t="n">
        <v>6</v>
      </c>
      <c r="G147" s="16" t="n">
        <v>125</v>
      </c>
    </row>
    <row r="148">
      <c r="A148" s="16" t="inlineStr">
        <is>
          <t>Campaign A</t>
        </is>
      </c>
      <c r="B148" s="16" t="inlineStr">
        <is>
          <t>Ad G</t>
        </is>
      </c>
      <c r="C148" s="17" t="n">
        <v>45943</v>
      </c>
      <c r="D148" s="16" t="n">
        <v>64277</v>
      </c>
      <c r="E148" s="16" t="n">
        <v>622.34</v>
      </c>
      <c r="F148" s="16" t="n">
        <v>50</v>
      </c>
      <c r="G148" s="16" t="n">
        <v>697</v>
      </c>
    </row>
    <row r="149">
      <c r="A149" s="16" t="inlineStr">
        <is>
          <t>Campaign A</t>
        </is>
      </c>
      <c r="B149" s="16" t="inlineStr">
        <is>
          <t>Ad G</t>
        </is>
      </c>
      <c r="C149" s="17" t="n">
        <v>45944</v>
      </c>
      <c r="D149" s="16" t="n">
        <v>67354</v>
      </c>
      <c r="E149" s="16" t="n">
        <v>666.85</v>
      </c>
      <c r="F149" s="16" t="n">
        <v>38</v>
      </c>
      <c r="G149" s="16" t="n">
        <v>657</v>
      </c>
    </row>
    <row r="150">
      <c r="A150" s="16" t="inlineStr">
        <is>
          <t>Campaign A</t>
        </is>
      </c>
      <c r="B150" s="16" t="inlineStr">
        <is>
          <t>Ad G</t>
        </is>
      </c>
      <c r="C150" s="17" t="n">
        <v>45945</v>
      </c>
      <c r="D150" s="16" t="n">
        <v>68124</v>
      </c>
      <c r="E150" s="16" t="n">
        <v>720.58</v>
      </c>
      <c r="F150" s="16" t="n">
        <v>32</v>
      </c>
      <c r="G150" s="16" t="n">
        <v>618</v>
      </c>
    </row>
    <row r="151">
      <c r="A151" s="16" t="inlineStr">
        <is>
          <t>Campaign A</t>
        </is>
      </c>
      <c r="B151" s="16" t="inlineStr">
        <is>
          <t>Ad G</t>
        </is>
      </c>
      <c r="C151" s="17" t="n">
        <v>45946</v>
      </c>
      <c r="D151" s="16" t="n">
        <v>59959</v>
      </c>
      <c r="E151" s="16" t="n">
        <v>650.87</v>
      </c>
      <c r="F151" s="16" t="n">
        <v>24</v>
      </c>
      <c r="G151" s="16" t="n">
        <v>453</v>
      </c>
    </row>
    <row r="152">
      <c r="A152" s="16" t="inlineStr">
        <is>
          <t>Campaign A</t>
        </is>
      </c>
      <c r="B152" s="16" t="inlineStr">
        <is>
          <t>Ad G</t>
        </is>
      </c>
      <c r="C152" s="17" t="n">
        <v>45947</v>
      </c>
      <c r="D152" s="16" t="n">
        <v>83684</v>
      </c>
      <c r="E152" s="16" t="n">
        <v>940.89</v>
      </c>
      <c r="F152" s="16" t="n">
        <v>29</v>
      </c>
      <c r="G152" s="16" t="n">
        <v>740</v>
      </c>
    </row>
    <row r="153">
      <c r="A153" s="16" t="inlineStr">
        <is>
          <t>Campaign A</t>
        </is>
      </c>
      <c r="B153" s="16" t="inlineStr">
        <is>
          <t>Ad G</t>
        </is>
      </c>
      <c r="C153" s="17" t="n">
        <v>45948</v>
      </c>
      <c r="D153" s="16" t="n">
        <v>70113</v>
      </c>
      <c r="E153" s="16" t="n">
        <v>797.9299999999999</v>
      </c>
      <c r="F153" s="16" t="n">
        <v>27</v>
      </c>
      <c r="G153" s="16" t="n">
        <v>669</v>
      </c>
    </row>
    <row r="154">
      <c r="A154" s="16" t="inlineStr">
        <is>
          <t>Campaign A</t>
        </is>
      </c>
      <c r="B154" s="16" t="inlineStr">
        <is>
          <t>Ad G</t>
        </is>
      </c>
      <c r="C154" s="17" t="n">
        <v>45949</v>
      </c>
      <c r="D154" s="16" t="n">
        <v>46595</v>
      </c>
      <c r="E154" s="16" t="n">
        <v>538.92</v>
      </c>
      <c r="F154" s="16" t="n">
        <v>28</v>
      </c>
      <c r="G154" s="16" t="n">
        <v>571</v>
      </c>
    </row>
    <row r="155">
      <c r="A155" s="16" t="inlineStr">
        <is>
          <t>Campaign A</t>
        </is>
      </c>
      <c r="B155" s="16" t="inlineStr">
        <is>
          <t>Ad G</t>
        </is>
      </c>
      <c r="C155" s="17" t="n">
        <v>45950</v>
      </c>
      <c r="D155" s="16" t="n">
        <v>64442</v>
      </c>
      <c r="E155" s="16" t="n">
        <v>612.3200000000001</v>
      </c>
      <c r="F155" s="16" t="n">
        <v>26</v>
      </c>
      <c r="G155" s="16" t="n">
        <v>739</v>
      </c>
    </row>
    <row r="156">
      <c r="A156" s="16" t="inlineStr">
        <is>
          <t>Campaign A</t>
        </is>
      </c>
      <c r="B156" s="16" t="inlineStr">
        <is>
          <t>Ad G</t>
        </is>
      </c>
      <c r="C156" s="17" t="n">
        <v>45951</v>
      </c>
      <c r="D156" s="16" t="n">
        <v>61497</v>
      </c>
      <c r="E156" s="16" t="n">
        <v>526.4400000000001</v>
      </c>
      <c r="F156" s="16" t="n">
        <v>17</v>
      </c>
      <c r="G156" s="16" t="n">
        <v>720</v>
      </c>
    </row>
    <row r="157">
      <c r="A157" s="16" t="inlineStr">
        <is>
          <t>Campaign A</t>
        </is>
      </c>
      <c r="B157" s="16" t="inlineStr">
        <is>
          <t>Ad G</t>
        </is>
      </c>
      <c r="C157" s="17" t="n">
        <v>45952</v>
      </c>
      <c r="D157" s="16" t="n">
        <v>62044</v>
      </c>
      <c r="E157" s="16" t="n">
        <v>579.14</v>
      </c>
      <c r="F157" s="16" t="n">
        <v>28</v>
      </c>
      <c r="G157" s="16" t="n">
        <v>600</v>
      </c>
    </row>
    <row r="158">
      <c r="A158" s="16" t="inlineStr">
        <is>
          <t>Campaign A</t>
        </is>
      </c>
      <c r="B158" s="16" t="inlineStr">
        <is>
          <t>Ad G</t>
        </is>
      </c>
      <c r="C158" s="17" t="n">
        <v>45953</v>
      </c>
      <c r="D158" s="16" t="n">
        <v>54682</v>
      </c>
      <c r="E158" s="16" t="n">
        <v>552.49</v>
      </c>
      <c r="F158" s="16" t="n">
        <v>32</v>
      </c>
      <c r="G158" s="16" t="n">
        <v>510</v>
      </c>
    </row>
    <row r="159">
      <c r="A159" s="16" t="inlineStr">
        <is>
          <t>Campaign A</t>
        </is>
      </c>
      <c r="B159" s="16" t="inlineStr">
        <is>
          <t>Ad G</t>
        </is>
      </c>
      <c r="C159" s="17" t="n">
        <v>45954</v>
      </c>
      <c r="D159" s="16" t="n">
        <v>50848</v>
      </c>
      <c r="E159" s="16" t="n">
        <v>518.37</v>
      </c>
      <c r="F159" s="16" t="n">
        <v>37</v>
      </c>
      <c r="G159" s="16" t="n">
        <v>489</v>
      </c>
    </row>
    <row r="160">
      <c r="A160" s="16" t="inlineStr">
        <is>
          <t>Campaign A</t>
        </is>
      </c>
      <c r="B160" s="16" t="inlineStr">
        <is>
          <t>Ad G</t>
        </is>
      </c>
      <c r="C160" s="17" t="n">
        <v>45955</v>
      </c>
      <c r="D160" s="16" t="n">
        <v>47983</v>
      </c>
      <c r="E160" s="16" t="n">
        <v>487.01</v>
      </c>
      <c r="F160" s="16" t="n">
        <v>35</v>
      </c>
      <c r="G160" s="16" t="n">
        <v>504</v>
      </c>
    </row>
    <row r="161">
      <c r="A161" s="16" t="inlineStr">
        <is>
          <t>Campaign A</t>
        </is>
      </c>
      <c r="B161" s="16" t="inlineStr">
        <is>
          <t>Ad G</t>
        </is>
      </c>
      <c r="C161" s="17" t="n">
        <v>45956</v>
      </c>
      <c r="D161" s="16" t="n">
        <v>46663</v>
      </c>
      <c r="E161" s="16" t="n">
        <v>488.99</v>
      </c>
      <c r="F161" s="16" t="n">
        <v>32</v>
      </c>
      <c r="G161" s="16" t="n">
        <v>542</v>
      </c>
    </row>
    <row r="162">
      <c r="A162" s="16" t="inlineStr">
        <is>
          <t>Campaign A</t>
        </is>
      </c>
      <c r="B162" s="16" t="inlineStr">
        <is>
          <t>Ad G</t>
        </is>
      </c>
      <c r="C162" s="17" t="n">
        <v>45957</v>
      </c>
      <c r="D162" s="16" t="n">
        <v>66676</v>
      </c>
      <c r="E162" s="16" t="n">
        <v>638.84</v>
      </c>
      <c r="F162" s="16" t="n">
        <v>46</v>
      </c>
      <c r="G162" s="16" t="n">
        <v>783</v>
      </c>
    </row>
    <row r="163">
      <c r="A163" s="16" t="inlineStr">
        <is>
          <t>Campaign A</t>
        </is>
      </c>
      <c r="B163" s="16" t="inlineStr">
        <is>
          <t>Ad G</t>
        </is>
      </c>
      <c r="C163" s="17" t="n">
        <v>45958</v>
      </c>
      <c r="D163" s="16" t="n">
        <v>60155</v>
      </c>
      <c r="E163" s="16" t="n">
        <v>571.1799999999999</v>
      </c>
      <c r="F163" s="16" t="n">
        <v>26</v>
      </c>
      <c r="G163" s="16" t="n">
        <v>649</v>
      </c>
    </row>
    <row r="164">
      <c r="A164" s="16" t="inlineStr">
        <is>
          <t>Campaign A</t>
        </is>
      </c>
      <c r="B164" s="16" t="inlineStr">
        <is>
          <t>Ad G</t>
        </is>
      </c>
      <c r="C164" s="17" t="n">
        <v>45959</v>
      </c>
      <c r="D164" s="16" t="n">
        <v>67072</v>
      </c>
      <c r="E164" s="16" t="n">
        <v>658.6</v>
      </c>
      <c r="F164" s="16" t="n">
        <v>20</v>
      </c>
      <c r="G164" s="16" t="n">
        <v>699</v>
      </c>
    </row>
    <row r="165">
      <c r="A165" s="16" t="inlineStr">
        <is>
          <t>Campaign A</t>
        </is>
      </c>
      <c r="B165" s="16" t="inlineStr">
        <is>
          <t>Ad G</t>
        </is>
      </c>
      <c r="C165" s="17" t="n">
        <v>45960</v>
      </c>
      <c r="D165" s="16" t="n">
        <v>58910</v>
      </c>
      <c r="E165" s="16" t="n">
        <v>608.5599999999999</v>
      </c>
      <c r="F165" s="16" t="n">
        <v>48</v>
      </c>
      <c r="G165" s="16" t="n">
        <v>723</v>
      </c>
    </row>
    <row r="166">
      <c r="A166" s="16" t="inlineStr">
        <is>
          <t>Campaign A</t>
        </is>
      </c>
      <c r="B166" s="16" t="inlineStr">
        <is>
          <t>Ad G</t>
        </is>
      </c>
      <c r="C166" s="17" t="n">
        <v>45961</v>
      </c>
      <c r="D166" s="16" t="n">
        <v>53742</v>
      </c>
      <c r="E166" s="16" t="n">
        <v>607.75</v>
      </c>
      <c r="F166" s="16" t="n">
        <v>33</v>
      </c>
      <c r="G166" s="16" t="n">
        <v>443</v>
      </c>
    </row>
    <row r="167">
      <c r="A167" s="16" t="inlineStr">
        <is>
          <t>Campaign A</t>
        </is>
      </c>
      <c r="B167" s="16" t="inlineStr">
        <is>
          <t>Ad G</t>
        </is>
      </c>
      <c r="C167" s="17" t="n">
        <v>45962</v>
      </c>
      <c r="D167" s="16" t="n">
        <v>50188</v>
      </c>
      <c r="E167" s="16" t="n">
        <v>599.5599999999999</v>
      </c>
      <c r="F167" s="16" t="n">
        <v>19</v>
      </c>
      <c r="G167" s="16" t="n">
        <v>477</v>
      </c>
    </row>
    <row r="168">
      <c r="A168" s="16" t="inlineStr">
        <is>
          <t>Campaign A</t>
        </is>
      </c>
      <c r="B168" s="16" t="inlineStr">
        <is>
          <t>Ad G</t>
        </is>
      </c>
      <c r="C168" s="17" t="n">
        <v>45963</v>
      </c>
      <c r="D168" s="16" t="n">
        <v>55306</v>
      </c>
      <c r="E168" s="16" t="n">
        <v>584.4</v>
      </c>
      <c r="F168" s="16" t="n">
        <v>31</v>
      </c>
      <c r="G168" s="16" t="n">
        <v>721</v>
      </c>
    </row>
    <row r="169">
      <c r="A169" s="16" t="inlineStr">
        <is>
          <t>Campaign A</t>
        </is>
      </c>
      <c r="B169" s="16" t="inlineStr">
        <is>
          <t>Ad G</t>
        </is>
      </c>
      <c r="C169" s="17" t="n">
        <v>45964</v>
      </c>
      <c r="D169" s="16" t="n">
        <v>37768</v>
      </c>
      <c r="E169" s="16" t="n">
        <v>363</v>
      </c>
      <c r="F169" s="16" t="n">
        <v>15</v>
      </c>
      <c r="G169" s="16" t="n">
        <v>413</v>
      </c>
    </row>
    <row r="170">
      <c r="A170" s="16" t="inlineStr">
        <is>
          <t>Campaign A</t>
        </is>
      </c>
      <c r="B170" s="16" t="inlineStr">
        <is>
          <t>Ad G</t>
        </is>
      </c>
      <c r="C170" s="17" t="n">
        <v>45965</v>
      </c>
      <c r="D170" s="16" t="n">
        <v>58910</v>
      </c>
      <c r="E170" s="16" t="n">
        <v>515</v>
      </c>
      <c r="F170" s="16" t="n">
        <v>32</v>
      </c>
      <c r="G170" s="16" t="n">
        <v>589</v>
      </c>
    </row>
    <row r="171">
      <c r="A171" s="16" t="inlineStr">
        <is>
          <t>Campaign A</t>
        </is>
      </c>
      <c r="B171" s="16" t="inlineStr">
        <is>
          <t>Ad G</t>
        </is>
      </c>
      <c r="C171" s="17" t="n">
        <v>45966</v>
      </c>
      <c r="D171" s="16" t="n">
        <v>46328</v>
      </c>
      <c r="E171" s="16" t="n">
        <v>432</v>
      </c>
      <c r="F171" s="16" t="n">
        <v>22</v>
      </c>
      <c r="G171" s="16" t="n">
        <v>477</v>
      </c>
    </row>
    <row r="172">
      <c r="A172" s="16" t="inlineStr">
        <is>
          <t>Campaign A</t>
        </is>
      </c>
      <c r="B172" s="16" t="inlineStr">
        <is>
          <t>Ad G</t>
        </is>
      </c>
      <c r="C172" s="17" t="n">
        <v>45967</v>
      </c>
      <c r="D172" s="16" t="n">
        <v>36201</v>
      </c>
      <c r="E172" s="16" t="n">
        <v>357</v>
      </c>
      <c r="F172" s="16" t="n">
        <v>8</v>
      </c>
      <c r="G172" s="16" t="n">
        <v>368</v>
      </c>
    </row>
    <row r="173">
      <c r="A173" s="16" t="inlineStr">
        <is>
          <t>Campaign A</t>
        </is>
      </c>
      <c r="B173" s="16" t="inlineStr">
        <is>
          <t>Ad G</t>
        </is>
      </c>
      <c r="C173" s="17" t="n">
        <v>45968</v>
      </c>
      <c r="D173" s="16" t="n">
        <v>17131</v>
      </c>
      <c r="E173" s="16" t="n">
        <v>173</v>
      </c>
      <c r="F173" s="16" t="n">
        <v>5</v>
      </c>
      <c r="G173" s="16" t="n">
        <v>228</v>
      </c>
    </row>
    <row r="174">
      <c r="A174" s="16" t="inlineStr">
        <is>
          <t>Campaign A</t>
        </is>
      </c>
      <c r="B174" s="16" t="inlineStr">
        <is>
          <t>Ad G</t>
        </is>
      </c>
      <c r="C174" s="17" t="n">
        <v>45969</v>
      </c>
      <c r="D174" s="16" t="n">
        <v>1116</v>
      </c>
      <c r="E174" s="16" t="n">
        <v>9</v>
      </c>
      <c r="F174" s="16" t="n">
        <v>0</v>
      </c>
      <c r="G174" s="16" t="n">
        <v>9</v>
      </c>
    </row>
    <row r="175">
      <c r="A175" s="16" t="inlineStr">
        <is>
          <t>Campaign A</t>
        </is>
      </c>
      <c r="B175" s="16" t="inlineStr">
        <is>
          <t>Ad G</t>
        </is>
      </c>
      <c r="C175" s="17" t="n">
        <v>45970</v>
      </c>
      <c r="D175" s="16" t="n">
        <v>5065</v>
      </c>
      <c r="E175" s="16" t="n">
        <v>46</v>
      </c>
      <c r="F175" s="16" t="n">
        <v>1</v>
      </c>
      <c r="G175" s="16" t="n">
        <v>40</v>
      </c>
    </row>
    <row r="176">
      <c r="A176" s="16" t="inlineStr">
        <is>
          <t>Campaign A</t>
        </is>
      </c>
      <c r="B176" s="16" t="inlineStr">
        <is>
          <t>Ad G</t>
        </is>
      </c>
      <c r="C176" s="17" t="n">
        <v>45971</v>
      </c>
      <c r="D176" s="16" t="n">
        <v>0</v>
      </c>
      <c r="E176" s="16" t="n">
        <v>0</v>
      </c>
      <c r="F176" s="16" t="n">
        <v>1</v>
      </c>
      <c r="G176" s="16" t="n">
        <v>0</v>
      </c>
    </row>
    <row r="177">
      <c r="A177" s="16" t="inlineStr">
        <is>
          <t>Campaign A</t>
        </is>
      </c>
      <c r="B177" s="16" t="inlineStr">
        <is>
          <t>Ad G</t>
        </is>
      </c>
      <c r="C177" s="17" t="n">
        <v>45972</v>
      </c>
      <c r="D177" s="16" t="n">
        <v>4461</v>
      </c>
      <c r="E177" s="16" t="n">
        <v>37</v>
      </c>
      <c r="F177" s="16" t="n">
        <v>2</v>
      </c>
      <c r="G177" s="16" t="n">
        <v>74</v>
      </c>
    </row>
    <row r="178">
      <c r="A178" s="16" t="inlineStr">
        <is>
          <t>Campaign A</t>
        </is>
      </c>
      <c r="B178" s="16" t="inlineStr">
        <is>
          <t>Ad G</t>
        </is>
      </c>
      <c r="C178" s="17" t="n">
        <v>45973</v>
      </c>
      <c r="D178" s="16" t="n">
        <v>1519</v>
      </c>
      <c r="E178" s="16" t="n">
        <v>17</v>
      </c>
      <c r="F178" s="16" t="n">
        <v>0</v>
      </c>
      <c r="G178" s="16" t="n">
        <v>14</v>
      </c>
    </row>
    <row r="179">
      <c r="A179" s="16" t="inlineStr">
        <is>
          <t>Campaign A</t>
        </is>
      </c>
      <c r="B179" s="16" t="inlineStr">
        <is>
          <t>Ad G</t>
        </is>
      </c>
      <c r="C179" s="17" t="n">
        <v>45974</v>
      </c>
      <c r="D179" s="16" t="n">
        <v>16097</v>
      </c>
      <c r="E179" s="16" t="n">
        <v>196</v>
      </c>
      <c r="F179" s="16" t="n">
        <v>6</v>
      </c>
      <c r="G179" s="16" t="n">
        <v>183</v>
      </c>
    </row>
    <row r="180">
      <c r="A180" s="16" t="inlineStr">
        <is>
          <t>Campaign A</t>
        </is>
      </c>
      <c r="B180" s="16" t="inlineStr">
        <is>
          <t>Ad G</t>
        </is>
      </c>
      <c r="C180" s="17" t="n">
        <v>45975</v>
      </c>
      <c r="D180" s="16" t="n">
        <v>11151</v>
      </c>
      <c r="E180" s="16" t="n">
        <v>134</v>
      </c>
      <c r="F180" s="16" t="n">
        <v>3</v>
      </c>
      <c r="G180" s="16" t="n">
        <v>122</v>
      </c>
    </row>
    <row r="181">
      <c r="A181" s="16" t="inlineStr">
        <is>
          <t>Campaign A</t>
        </is>
      </c>
      <c r="B181" s="16" t="inlineStr">
        <is>
          <t>Ad G</t>
        </is>
      </c>
      <c r="C181" s="17" t="n">
        <v>45976</v>
      </c>
      <c r="D181" s="16" t="n">
        <v>9767</v>
      </c>
      <c r="E181" s="16" t="n">
        <v>108</v>
      </c>
      <c r="F181" s="16" t="n">
        <v>6</v>
      </c>
      <c r="G181" s="16" t="n">
        <v>107</v>
      </c>
    </row>
    <row r="182">
      <c r="A182" s="16" t="inlineStr">
        <is>
          <t>Campaign A</t>
        </is>
      </c>
      <c r="B182" s="16" t="inlineStr">
        <is>
          <t>Ad G</t>
        </is>
      </c>
      <c r="C182" s="17" t="n">
        <v>45977</v>
      </c>
      <c r="D182" s="16" t="n">
        <v>4339</v>
      </c>
      <c r="E182" s="16" t="n">
        <v>52</v>
      </c>
      <c r="F182" s="16" t="n">
        <v>1</v>
      </c>
      <c r="G182" s="16" t="n">
        <v>53</v>
      </c>
    </row>
    <row r="183">
      <c r="A183" s="16" t="inlineStr">
        <is>
          <t>Campaign A</t>
        </is>
      </c>
      <c r="B183" s="16" t="inlineStr">
        <is>
          <t>Ad G</t>
        </is>
      </c>
      <c r="C183" s="17" t="n">
        <v>45978</v>
      </c>
      <c r="D183" s="16" t="n">
        <v>4357</v>
      </c>
      <c r="E183" s="16" t="n">
        <v>39</v>
      </c>
      <c r="F183" s="16" t="n">
        <v>3</v>
      </c>
      <c r="G183" s="16" t="n">
        <v>33</v>
      </c>
    </row>
    <row r="184">
      <c r="A184" s="16" t="inlineStr">
        <is>
          <t>Campaign A</t>
        </is>
      </c>
      <c r="B184" s="16" t="inlineStr">
        <is>
          <t>Ad G</t>
        </is>
      </c>
      <c r="C184" s="17" t="n">
        <v>45979</v>
      </c>
      <c r="D184" s="16" t="n">
        <v>29009</v>
      </c>
      <c r="E184" s="16" t="n">
        <v>289</v>
      </c>
      <c r="F184" s="16" t="n">
        <v>24</v>
      </c>
      <c r="G184" s="16" t="n">
        <v>259</v>
      </c>
    </row>
    <row r="185">
      <c r="A185" s="16" t="inlineStr">
        <is>
          <t>Campaign A</t>
        </is>
      </c>
      <c r="B185" s="16" t="inlineStr">
        <is>
          <t>Ad G</t>
        </is>
      </c>
      <c r="C185" s="17" t="n">
        <v>45980</v>
      </c>
      <c r="D185" s="16" t="n">
        <v>7985</v>
      </c>
      <c r="E185" s="16" t="n">
        <v>92</v>
      </c>
      <c r="F185" s="16" t="n">
        <v>6</v>
      </c>
      <c r="G185" s="16" t="n">
        <v>71</v>
      </c>
    </row>
    <row r="186">
      <c r="A186" s="16" t="inlineStr">
        <is>
          <t>Campaign A</t>
        </is>
      </c>
      <c r="B186" s="16" t="inlineStr">
        <is>
          <t>Ad G</t>
        </is>
      </c>
      <c r="C186" s="17" t="n">
        <v>45981</v>
      </c>
      <c r="D186" s="16" t="n">
        <v>6723</v>
      </c>
      <c r="E186" s="16" t="n">
        <v>87</v>
      </c>
      <c r="F186" s="16" t="n">
        <v>9</v>
      </c>
      <c r="G186" s="16" t="n">
        <v>57</v>
      </c>
    </row>
    <row r="187">
      <c r="A187" s="16" t="inlineStr">
        <is>
          <t>Campaign A</t>
        </is>
      </c>
      <c r="B187" s="16" t="inlineStr">
        <is>
          <t>Ad G</t>
        </is>
      </c>
      <c r="C187" s="17" t="n">
        <v>45982</v>
      </c>
      <c r="D187" s="16" t="n">
        <v>6523</v>
      </c>
      <c r="E187" s="16" t="n">
        <v>78</v>
      </c>
      <c r="F187" s="16" t="n">
        <v>4</v>
      </c>
      <c r="G187" s="16" t="n">
        <v>83</v>
      </c>
    </row>
    <row r="188">
      <c r="A188" s="16" t="inlineStr">
        <is>
          <t>Campaign A</t>
        </is>
      </c>
      <c r="B188" s="16" t="inlineStr">
        <is>
          <t>Ad G</t>
        </is>
      </c>
      <c r="C188" s="17" t="n">
        <v>45983</v>
      </c>
      <c r="D188" s="16" t="n">
        <v>6744</v>
      </c>
      <c r="E188" s="16" t="n">
        <v>81</v>
      </c>
      <c r="F188" s="16" t="n">
        <v>5</v>
      </c>
      <c r="G188" s="16" t="n">
        <v>101</v>
      </c>
    </row>
    <row r="189">
      <c r="A189" s="16" t="inlineStr">
        <is>
          <t>Campaign A</t>
        </is>
      </c>
      <c r="B189" s="16" t="inlineStr">
        <is>
          <t>Ad G</t>
        </is>
      </c>
      <c r="C189" s="17" t="n">
        <v>45984</v>
      </c>
      <c r="D189" s="16" t="n">
        <v>7322</v>
      </c>
      <c r="E189" s="16" t="n">
        <v>93</v>
      </c>
      <c r="F189" s="16" t="n">
        <v>5</v>
      </c>
      <c r="G189" s="16" t="n">
        <v>101</v>
      </c>
    </row>
    <row r="190">
      <c r="A190" s="16" t="inlineStr">
        <is>
          <t>Campaign A</t>
        </is>
      </c>
      <c r="B190" s="16" t="inlineStr">
        <is>
          <t>Ad F</t>
        </is>
      </c>
      <c r="C190" s="17" t="n">
        <v>45943</v>
      </c>
      <c r="D190" s="16" t="n">
        <v>906242</v>
      </c>
      <c r="E190" s="16" t="n">
        <v>7108.81</v>
      </c>
      <c r="F190" s="16" t="n">
        <v>585</v>
      </c>
      <c r="G190" s="16" t="n">
        <v>10952</v>
      </c>
    </row>
    <row r="191">
      <c r="A191" s="16" t="inlineStr">
        <is>
          <t>Campaign A</t>
        </is>
      </c>
      <c r="B191" s="16" t="inlineStr">
        <is>
          <t>Ad F</t>
        </is>
      </c>
      <c r="C191" s="17" t="n">
        <v>45944</v>
      </c>
      <c r="D191" s="16" t="n">
        <v>966760</v>
      </c>
      <c r="E191" s="16" t="n">
        <v>7255.91</v>
      </c>
      <c r="F191" s="16" t="n">
        <v>551</v>
      </c>
      <c r="G191" s="16" t="n">
        <v>10752</v>
      </c>
    </row>
    <row r="192">
      <c r="A192" s="16" t="inlineStr">
        <is>
          <t>Campaign A</t>
        </is>
      </c>
      <c r="B192" s="16" t="inlineStr">
        <is>
          <t>Ad F</t>
        </is>
      </c>
      <c r="C192" s="17" t="n">
        <v>45945</v>
      </c>
      <c r="D192" s="16" t="n">
        <v>845358</v>
      </c>
      <c r="E192" s="16" t="n">
        <v>7230.07</v>
      </c>
      <c r="F192" s="16" t="n">
        <v>435</v>
      </c>
      <c r="G192" s="16" t="n">
        <v>9600</v>
      </c>
    </row>
    <row r="193">
      <c r="A193" s="16" t="inlineStr">
        <is>
          <t>Campaign A</t>
        </is>
      </c>
      <c r="B193" s="16" t="inlineStr">
        <is>
          <t>Ad F</t>
        </is>
      </c>
      <c r="C193" s="17" t="n">
        <v>45946</v>
      </c>
      <c r="D193" s="16" t="n">
        <v>815610</v>
      </c>
      <c r="E193" s="16" t="n">
        <v>7803.39</v>
      </c>
      <c r="F193" s="16" t="n">
        <v>375</v>
      </c>
      <c r="G193" s="16" t="n">
        <v>8823</v>
      </c>
    </row>
    <row r="194">
      <c r="A194" s="16" t="inlineStr">
        <is>
          <t>Campaign A</t>
        </is>
      </c>
      <c r="B194" s="16" t="inlineStr">
        <is>
          <t>Ad F</t>
        </is>
      </c>
      <c r="C194" s="17" t="n">
        <v>45947</v>
      </c>
      <c r="D194" s="16" t="n">
        <v>801086</v>
      </c>
      <c r="E194" s="16" t="n">
        <v>7225.47</v>
      </c>
      <c r="F194" s="16" t="n">
        <v>460</v>
      </c>
      <c r="G194" s="16" t="n">
        <v>8807</v>
      </c>
    </row>
    <row r="195">
      <c r="A195" s="16" t="inlineStr">
        <is>
          <t>Campaign A</t>
        </is>
      </c>
      <c r="B195" s="16" t="inlineStr">
        <is>
          <t>Ad F</t>
        </is>
      </c>
      <c r="C195" s="17" t="n">
        <v>45948</v>
      </c>
      <c r="D195" s="16" t="n">
        <v>692957</v>
      </c>
      <c r="E195" s="16" t="n">
        <v>6309.2</v>
      </c>
      <c r="F195" s="16" t="n">
        <v>373</v>
      </c>
      <c r="G195" s="16" t="n">
        <v>7566</v>
      </c>
    </row>
    <row r="196">
      <c r="A196" s="16" t="inlineStr">
        <is>
          <t>Campaign A</t>
        </is>
      </c>
      <c r="B196" s="16" t="inlineStr">
        <is>
          <t>Ad F</t>
        </is>
      </c>
      <c r="C196" s="17" t="n">
        <v>45949</v>
      </c>
      <c r="D196" s="16" t="n">
        <v>808750</v>
      </c>
      <c r="E196" s="16" t="n">
        <v>7109.25</v>
      </c>
      <c r="F196" s="16" t="n">
        <v>479</v>
      </c>
      <c r="G196" s="16" t="n">
        <v>10993</v>
      </c>
    </row>
    <row r="197">
      <c r="A197" s="16" t="inlineStr">
        <is>
          <t>Campaign A</t>
        </is>
      </c>
      <c r="B197" s="16" t="inlineStr">
        <is>
          <t>Ad F</t>
        </is>
      </c>
      <c r="C197" s="17" t="n">
        <v>45950</v>
      </c>
      <c r="D197" s="16" t="n">
        <v>658300.5</v>
      </c>
      <c r="E197" s="16" t="n">
        <v>5279.05</v>
      </c>
      <c r="F197" s="16" t="n">
        <v>312</v>
      </c>
      <c r="G197" s="16" t="n">
        <v>10829</v>
      </c>
    </row>
    <row r="198">
      <c r="A198" s="16" t="inlineStr">
        <is>
          <t>Campaign A</t>
        </is>
      </c>
      <c r="B198" s="16" t="inlineStr">
        <is>
          <t>Ad F</t>
        </is>
      </c>
      <c r="C198" s="17" t="n">
        <v>45951</v>
      </c>
      <c r="D198" s="16" t="n">
        <v>720189.9</v>
      </c>
      <c r="E198" s="16" t="n">
        <v>5626.71</v>
      </c>
      <c r="F198" s="16" t="n">
        <v>335</v>
      </c>
      <c r="G198" s="16" t="n">
        <v>10549</v>
      </c>
    </row>
    <row r="199">
      <c r="A199" s="16" t="inlineStr">
        <is>
          <t>Campaign A</t>
        </is>
      </c>
      <c r="B199" s="16" t="inlineStr">
        <is>
          <t>Ad F</t>
        </is>
      </c>
      <c r="C199" s="17" t="n">
        <v>45952</v>
      </c>
      <c r="D199" s="16" t="n">
        <v>706477.5</v>
      </c>
      <c r="E199" s="16" t="n">
        <v>6072.39</v>
      </c>
      <c r="F199" s="16" t="n">
        <v>382</v>
      </c>
      <c r="G199" s="16" t="n">
        <v>8446</v>
      </c>
    </row>
    <row r="200">
      <c r="A200" s="16" t="inlineStr">
        <is>
          <t>Campaign A</t>
        </is>
      </c>
      <c r="B200" s="16" t="inlineStr">
        <is>
          <t>Ad F</t>
        </is>
      </c>
      <c r="C200" s="17" t="n">
        <v>45953</v>
      </c>
      <c r="D200" s="16" t="n">
        <v>703275.3</v>
      </c>
      <c r="E200" s="16" t="n">
        <v>6455.42</v>
      </c>
      <c r="F200" s="16" t="n">
        <v>374</v>
      </c>
      <c r="G200" s="16" t="n">
        <v>8810</v>
      </c>
    </row>
    <row r="201">
      <c r="A201" s="16" t="inlineStr">
        <is>
          <t>Campaign A</t>
        </is>
      </c>
      <c r="B201" s="16" t="inlineStr">
        <is>
          <t>Ad F</t>
        </is>
      </c>
      <c r="C201" s="17" t="n">
        <v>45954</v>
      </c>
      <c r="D201" s="16" t="n">
        <v>709881.3</v>
      </c>
      <c r="E201" s="16" t="n">
        <v>6238.57</v>
      </c>
      <c r="F201" s="16" t="n">
        <v>325</v>
      </c>
      <c r="G201" s="16" t="n">
        <v>8489</v>
      </c>
    </row>
    <row r="202">
      <c r="A202" s="16" t="inlineStr">
        <is>
          <t>Campaign A</t>
        </is>
      </c>
      <c r="B202" s="16" t="inlineStr">
        <is>
          <t>Ad F</t>
        </is>
      </c>
      <c r="C202" s="17" t="n">
        <v>45955</v>
      </c>
      <c r="D202" s="16" t="n">
        <v>676473.3</v>
      </c>
      <c r="E202" s="16" t="n">
        <v>6065.21</v>
      </c>
      <c r="F202" s="16" t="n">
        <v>383</v>
      </c>
      <c r="G202" s="16" t="n">
        <v>7880</v>
      </c>
    </row>
    <row r="203">
      <c r="A203" s="16" t="inlineStr">
        <is>
          <t>Campaign A</t>
        </is>
      </c>
      <c r="B203" s="16" t="inlineStr">
        <is>
          <t>Ad F</t>
        </is>
      </c>
      <c r="C203" s="17" t="n">
        <v>45956</v>
      </c>
      <c r="D203" s="16" t="n">
        <v>640343.7</v>
      </c>
      <c r="E203" s="16" t="n">
        <v>5716.33</v>
      </c>
      <c r="F203" s="16" t="n">
        <v>391</v>
      </c>
      <c r="G203" s="16" t="n">
        <v>8480</v>
      </c>
    </row>
    <row r="204">
      <c r="A204" s="16" t="inlineStr">
        <is>
          <t>Campaign A</t>
        </is>
      </c>
      <c r="B204" s="16" t="inlineStr">
        <is>
          <t>Ad F</t>
        </is>
      </c>
      <c r="C204" s="17" t="n">
        <v>45957</v>
      </c>
      <c r="D204" s="16" t="n">
        <v>752616</v>
      </c>
      <c r="E204" s="16" t="n">
        <v>5536.21</v>
      </c>
      <c r="F204" s="16" t="n">
        <v>517</v>
      </c>
      <c r="G204" s="16" t="n">
        <v>9154</v>
      </c>
    </row>
    <row r="205">
      <c r="A205" s="16" t="inlineStr">
        <is>
          <t>Campaign A</t>
        </is>
      </c>
      <c r="B205" s="16" t="inlineStr">
        <is>
          <t>Ad F</t>
        </is>
      </c>
      <c r="C205" s="17" t="n">
        <v>45958</v>
      </c>
      <c r="D205" s="16" t="n">
        <v>630187</v>
      </c>
      <c r="E205" s="16" t="n">
        <v>4635.62</v>
      </c>
      <c r="F205" s="16" t="n">
        <v>419</v>
      </c>
      <c r="G205" s="16" t="n">
        <v>6681</v>
      </c>
    </row>
    <row r="206">
      <c r="A206" s="16" t="inlineStr">
        <is>
          <t>Campaign A</t>
        </is>
      </c>
      <c r="B206" s="16" t="inlineStr">
        <is>
          <t>Ad F</t>
        </is>
      </c>
      <c r="C206" s="17" t="n">
        <v>45959</v>
      </c>
      <c r="D206" s="16" t="n">
        <v>424475</v>
      </c>
      <c r="E206" s="16" t="n">
        <v>3703.37</v>
      </c>
      <c r="F206" s="16" t="n">
        <v>281</v>
      </c>
      <c r="G206" s="16" t="n">
        <v>4705</v>
      </c>
    </row>
    <row r="207">
      <c r="A207" s="16" t="inlineStr">
        <is>
          <t>Campaign A</t>
        </is>
      </c>
      <c r="B207" s="16" t="inlineStr">
        <is>
          <t>Ad F</t>
        </is>
      </c>
      <c r="C207" s="17" t="n">
        <v>45960</v>
      </c>
      <c r="D207" s="16" t="n">
        <v>469315</v>
      </c>
      <c r="E207" s="16" t="n">
        <v>4194.24</v>
      </c>
      <c r="F207" s="16" t="n">
        <v>293</v>
      </c>
      <c r="G207" s="16" t="n">
        <v>5570</v>
      </c>
    </row>
    <row r="208">
      <c r="A208" s="16" t="inlineStr">
        <is>
          <t>Campaign A</t>
        </is>
      </c>
      <c r="B208" s="16" t="inlineStr">
        <is>
          <t>Ad F</t>
        </is>
      </c>
      <c r="C208" s="17" t="n">
        <v>45961</v>
      </c>
      <c r="D208" s="16" t="n">
        <v>457039</v>
      </c>
      <c r="E208" s="16" t="n">
        <v>4414.65</v>
      </c>
      <c r="F208" s="16" t="n">
        <v>279</v>
      </c>
      <c r="G208" s="16" t="n">
        <v>4381</v>
      </c>
    </row>
    <row r="209">
      <c r="A209" s="16" t="inlineStr">
        <is>
          <t>Campaign A</t>
        </is>
      </c>
      <c r="B209" s="16" t="inlineStr">
        <is>
          <t>Ad F</t>
        </is>
      </c>
      <c r="C209" s="17" t="n">
        <v>45962</v>
      </c>
      <c r="D209" s="16" t="n">
        <v>532678</v>
      </c>
      <c r="E209" s="16" t="n">
        <v>5067.13</v>
      </c>
      <c r="F209" s="16" t="n">
        <v>308</v>
      </c>
      <c r="G209" s="16" t="n">
        <v>6393</v>
      </c>
    </row>
    <row r="210">
      <c r="A210" s="16" t="inlineStr">
        <is>
          <t>Campaign A</t>
        </is>
      </c>
      <c r="B210" s="16" t="inlineStr">
        <is>
          <t>Ad F</t>
        </is>
      </c>
      <c r="C210" s="17" t="n">
        <v>45963</v>
      </c>
      <c r="D210" s="16" t="n">
        <v>807289</v>
      </c>
      <c r="E210" s="16" t="n">
        <v>6127.39</v>
      </c>
      <c r="F210" s="16" t="n">
        <v>406</v>
      </c>
      <c r="G210" s="16" t="n">
        <v>8869</v>
      </c>
    </row>
    <row r="211">
      <c r="A211" s="16" t="inlineStr">
        <is>
          <t>Campaign A</t>
        </is>
      </c>
      <c r="B211" s="16" t="inlineStr">
        <is>
          <t>Ad F</t>
        </is>
      </c>
      <c r="C211" s="17" t="n">
        <v>45964</v>
      </c>
      <c r="D211" s="16" t="n">
        <v>449570</v>
      </c>
      <c r="E211" s="16" t="n">
        <v>3437</v>
      </c>
      <c r="F211" s="16" t="n">
        <v>249</v>
      </c>
      <c r="G211" s="16" t="n">
        <v>4388</v>
      </c>
    </row>
    <row r="212">
      <c r="A212" s="16" t="inlineStr">
        <is>
          <t>Campaign A</t>
        </is>
      </c>
      <c r="B212" s="16" t="inlineStr">
        <is>
          <t>Ad F</t>
        </is>
      </c>
      <c r="C212" s="17" t="n">
        <v>45965</v>
      </c>
      <c r="D212" s="16" t="n">
        <v>430460</v>
      </c>
      <c r="E212" s="16" t="n">
        <v>3150</v>
      </c>
      <c r="F212" s="16" t="n">
        <v>201</v>
      </c>
      <c r="G212" s="16" t="n">
        <v>3904</v>
      </c>
    </row>
    <row r="213">
      <c r="A213" s="16" t="inlineStr">
        <is>
          <t>Campaign A</t>
        </is>
      </c>
      <c r="B213" s="16" t="inlineStr">
        <is>
          <t>Ad F</t>
        </is>
      </c>
      <c r="C213" s="17" t="n">
        <v>45966</v>
      </c>
      <c r="D213" s="16" t="n">
        <v>415009</v>
      </c>
      <c r="E213" s="16" t="n">
        <v>3281</v>
      </c>
      <c r="F213" s="16" t="n">
        <v>192</v>
      </c>
      <c r="G213" s="16" t="n">
        <v>3978</v>
      </c>
    </row>
    <row r="214">
      <c r="A214" s="16" t="inlineStr">
        <is>
          <t>Campaign A</t>
        </is>
      </c>
      <c r="B214" s="16" t="inlineStr">
        <is>
          <t>Ad F</t>
        </is>
      </c>
      <c r="C214" s="17" t="n">
        <v>45967</v>
      </c>
      <c r="D214" s="16" t="n">
        <v>375166</v>
      </c>
      <c r="E214" s="16" t="n">
        <v>3251</v>
      </c>
      <c r="F214" s="16" t="n">
        <v>177</v>
      </c>
      <c r="G214" s="16" t="n">
        <v>3432</v>
      </c>
    </row>
    <row r="215">
      <c r="A215" s="16" t="inlineStr">
        <is>
          <t>Campaign A</t>
        </is>
      </c>
      <c r="B215" s="16" t="inlineStr">
        <is>
          <t>Ad F</t>
        </is>
      </c>
      <c r="C215" s="17" t="n">
        <v>45968</v>
      </c>
      <c r="D215" s="16" t="n">
        <v>534478</v>
      </c>
      <c r="E215" s="16" t="n">
        <v>4646</v>
      </c>
      <c r="F215" s="16" t="n">
        <v>270</v>
      </c>
      <c r="G215" s="16" t="n">
        <v>5031</v>
      </c>
    </row>
    <row r="216">
      <c r="A216" s="16" t="inlineStr">
        <is>
          <t>Campaign A</t>
        </is>
      </c>
      <c r="B216" s="16" t="inlineStr">
        <is>
          <t>Ad F</t>
        </is>
      </c>
      <c r="C216" s="17" t="n">
        <v>45969</v>
      </c>
      <c r="D216" s="16" t="n">
        <v>733277</v>
      </c>
      <c r="E216" s="16" t="n">
        <v>6184</v>
      </c>
      <c r="F216" s="16" t="n">
        <v>341</v>
      </c>
      <c r="G216" s="16" t="n">
        <v>6545</v>
      </c>
    </row>
    <row r="217">
      <c r="A217" s="16" t="inlineStr">
        <is>
          <t>Campaign A</t>
        </is>
      </c>
      <c r="B217" s="16" t="inlineStr">
        <is>
          <t>Ad F</t>
        </is>
      </c>
      <c r="C217" s="17" t="n">
        <v>45970</v>
      </c>
      <c r="D217" s="16" t="n">
        <v>779456</v>
      </c>
      <c r="E217" s="16" t="n">
        <v>6019</v>
      </c>
      <c r="F217" s="16" t="n">
        <v>420</v>
      </c>
      <c r="G217" s="16" t="n">
        <v>7909</v>
      </c>
    </row>
    <row r="218">
      <c r="A218" s="16" t="inlineStr">
        <is>
          <t>Campaign A</t>
        </is>
      </c>
      <c r="B218" s="16" t="inlineStr">
        <is>
          <t>Ad F</t>
        </is>
      </c>
      <c r="C218" s="17" t="n">
        <v>45971</v>
      </c>
      <c r="D218" s="16" t="n">
        <v>511475</v>
      </c>
      <c r="E218" s="16" t="n">
        <v>3580</v>
      </c>
      <c r="F218" s="16" t="n">
        <v>227</v>
      </c>
      <c r="G218" s="16" t="n">
        <v>4909</v>
      </c>
    </row>
    <row r="219">
      <c r="A219" s="16" t="inlineStr">
        <is>
          <t>Campaign A</t>
        </is>
      </c>
      <c r="B219" s="16" t="inlineStr">
        <is>
          <t>Ad F</t>
        </is>
      </c>
      <c r="C219" s="17" t="n">
        <v>45972</v>
      </c>
      <c r="D219" s="16" t="n">
        <v>434833</v>
      </c>
      <c r="E219" s="16" t="n">
        <v>2806</v>
      </c>
      <c r="F219" s="16" t="n">
        <v>189</v>
      </c>
      <c r="G219" s="16" t="n">
        <v>4410</v>
      </c>
    </row>
    <row r="220">
      <c r="A220" s="16" t="inlineStr">
        <is>
          <t>Campaign A</t>
        </is>
      </c>
      <c r="B220" s="16" t="inlineStr">
        <is>
          <t>Ad F</t>
        </is>
      </c>
      <c r="C220" s="17" t="n">
        <v>45973</v>
      </c>
      <c r="D220" s="16" t="n">
        <v>260599</v>
      </c>
      <c r="E220" s="16" t="n">
        <v>2323</v>
      </c>
      <c r="F220" s="16" t="n">
        <v>110</v>
      </c>
      <c r="G220" s="16" t="n">
        <v>2122</v>
      </c>
    </row>
    <row r="221">
      <c r="A221" s="16" t="inlineStr">
        <is>
          <t>Campaign A</t>
        </is>
      </c>
      <c r="B221" s="16" t="inlineStr">
        <is>
          <t>Ad F</t>
        </is>
      </c>
      <c r="C221" s="17" t="n">
        <v>45974</v>
      </c>
      <c r="D221" s="16" t="n">
        <v>249540</v>
      </c>
      <c r="E221" s="16" t="n">
        <v>2526</v>
      </c>
      <c r="F221" s="16" t="n">
        <v>157</v>
      </c>
      <c r="G221" s="16" t="n">
        <v>2236</v>
      </c>
    </row>
    <row r="222">
      <c r="A222" s="16" t="inlineStr">
        <is>
          <t>Campaign A</t>
        </is>
      </c>
      <c r="B222" s="16" t="inlineStr">
        <is>
          <t>Ad F</t>
        </is>
      </c>
      <c r="C222" s="17" t="n">
        <v>45975</v>
      </c>
      <c r="D222" s="16" t="n">
        <v>231080</v>
      </c>
      <c r="E222" s="16" t="n">
        <v>2366</v>
      </c>
      <c r="F222" s="16" t="n">
        <v>162</v>
      </c>
      <c r="G222" s="16" t="n">
        <v>2248</v>
      </c>
    </row>
    <row r="223">
      <c r="A223" s="16" t="inlineStr">
        <is>
          <t>Campaign A</t>
        </is>
      </c>
      <c r="B223" s="16" t="inlineStr">
        <is>
          <t>Ad F</t>
        </is>
      </c>
      <c r="C223" s="17" t="n">
        <v>45976</v>
      </c>
      <c r="D223" s="16" t="n">
        <v>335343</v>
      </c>
      <c r="E223" s="16" t="n">
        <v>3019</v>
      </c>
      <c r="F223" s="16" t="n">
        <v>182</v>
      </c>
      <c r="G223" s="16" t="n">
        <v>3156</v>
      </c>
    </row>
    <row r="224">
      <c r="A224" s="16" t="inlineStr">
        <is>
          <t>Campaign A</t>
        </is>
      </c>
      <c r="B224" s="16" t="inlineStr">
        <is>
          <t>Ad F</t>
        </is>
      </c>
      <c r="C224" s="17" t="n">
        <v>45977</v>
      </c>
      <c r="D224" s="16" t="n">
        <v>356014</v>
      </c>
      <c r="E224" s="16" t="n">
        <v>3417</v>
      </c>
      <c r="F224" s="16" t="n">
        <v>245</v>
      </c>
      <c r="G224" s="16" t="n">
        <v>3514</v>
      </c>
    </row>
    <row r="225">
      <c r="A225" s="16" t="inlineStr">
        <is>
          <t>Campaign A</t>
        </is>
      </c>
      <c r="B225" s="16" t="inlineStr">
        <is>
          <t>Ad F</t>
        </is>
      </c>
      <c r="C225" s="17" t="n">
        <v>45978</v>
      </c>
      <c r="D225" s="16" t="n">
        <v>551069</v>
      </c>
      <c r="E225" s="16" t="n">
        <v>5274</v>
      </c>
      <c r="F225" s="16" t="n">
        <v>293</v>
      </c>
      <c r="G225" s="16" t="n">
        <v>5688</v>
      </c>
    </row>
    <row r="226">
      <c r="A226" s="16" t="inlineStr">
        <is>
          <t>Campaign A</t>
        </is>
      </c>
      <c r="B226" s="16" t="inlineStr">
        <is>
          <t>Ad F</t>
        </is>
      </c>
      <c r="C226" s="17" t="n">
        <v>45979</v>
      </c>
      <c r="D226" s="16" t="n">
        <v>1096496</v>
      </c>
      <c r="E226" s="16" t="n">
        <v>5324</v>
      </c>
      <c r="F226" s="16" t="n">
        <v>384</v>
      </c>
      <c r="G226" s="16" t="n">
        <v>10788</v>
      </c>
    </row>
    <row r="227">
      <c r="A227" s="16" t="inlineStr">
        <is>
          <t>Campaign A</t>
        </is>
      </c>
      <c r="B227" s="16" t="inlineStr">
        <is>
          <t>Ad F</t>
        </is>
      </c>
      <c r="C227" s="17" t="n">
        <v>45980</v>
      </c>
      <c r="D227" s="16" t="n">
        <v>262664</v>
      </c>
      <c r="E227" s="16" t="n">
        <v>1340</v>
      </c>
      <c r="F227" s="16" t="n">
        <v>92</v>
      </c>
      <c r="G227" s="16" t="n">
        <v>2512</v>
      </c>
    </row>
    <row r="228">
      <c r="A228" s="16" t="inlineStr">
        <is>
          <t>Campaign A</t>
        </is>
      </c>
      <c r="B228" s="16" t="inlineStr">
        <is>
          <t>Ad F</t>
        </is>
      </c>
      <c r="C228" s="17" t="n">
        <v>45981</v>
      </c>
      <c r="D228" s="16" t="n">
        <v>294512</v>
      </c>
      <c r="E228" s="16" t="n">
        <v>1676</v>
      </c>
      <c r="F228" s="16" t="n">
        <v>172</v>
      </c>
      <c r="G228" s="16" t="n">
        <v>2800</v>
      </c>
    </row>
    <row r="229">
      <c r="A229" s="16" t="inlineStr">
        <is>
          <t>Campaign A</t>
        </is>
      </c>
      <c r="B229" s="16" t="inlineStr">
        <is>
          <t>Ad F</t>
        </is>
      </c>
      <c r="C229" s="17" t="n">
        <v>45982</v>
      </c>
      <c r="D229" s="16" t="n">
        <v>308936</v>
      </c>
      <c r="E229" s="16" t="n">
        <v>1876</v>
      </c>
      <c r="F229" s="16" t="n">
        <v>108</v>
      </c>
      <c r="G229" s="16" t="n">
        <v>3568</v>
      </c>
    </row>
    <row r="230">
      <c r="A230" s="16" t="inlineStr">
        <is>
          <t>Campaign A</t>
        </is>
      </c>
      <c r="B230" s="16" t="inlineStr">
        <is>
          <t>Ad F</t>
        </is>
      </c>
      <c r="C230" s="17" t="n">
        <v>45983</v>
      </c>
      <c r="D230" s="16" t="n">
        <v>309504</v>
      </c>
      <c r="E230" s="16" t="n">
        <v>1820</v>
      </c>
      <c r="F230" s="16" t="n">
        <v>92</v>
      </c>
      <c r="G230" s="16" t="n">
        <v>3836</v>
      </c>
    </row>
    <row r="231">
      <c r="A231" s="16" t="inlineStr">
        <is>
          <t>Campaign A</t>
        </is>
      </c>
      <c r="B231" s="16" t="inlineStr">
        <is>
          <t>Ad F</t>
        </is>
      </c>
      <c r="C231" s="17" t="n">
        <v>45984</v>
      </c>
      <c r="D231" s="16" t="n">
        <v>327792</v>
      </c>
      <c r="E231" s="16" t="n">
        <v>1912</v>
      </c>
      <c r="F231" s="16" t="n">
        <v>112</v>
      </c>
      <c r="G231" s="16" t="n">
        <v>4556</v>
      </c>
    </row>
    <row r="232">
      <c r="A232" s="16" t="inlineStr">
        <is>
          <t>Campaign A</t>
        </is>
      </c>
      <c r="B232" s="16" t="inlineStr">
        <is>
          <t>Ad E</t>
        </is>
      </c>
      <c r="C232" s="17" t="n">
        <v>45948</v>
      </c>
      <c r="D232" s="16" t="n">
        <v>1693</v>
      </c>
      <c r="E232" s="16" t="n">
        <v>21.32</v>
      </c>
      <c r="F232" s="16" t="n">
        <v>2</v>
      </c>
      <c r="G232" s="16" t="n">
        <v>10</v>
      </c>
    </row>
    <row r="233">
      <c r="A233" s="16" t="inlineStr">
        <is>
          <t>Campaign A</t>
        </is>
      </c>
      <c r="B233" s="16" t="inlineStr">
        <is>
          <t>Ad E</t>
        </is>
      </c>
      <c r="C233" s="17" t="n">
        <v>45949</v>
      </c>
      <c r="D233" s="16" t="n">
        <v>110877</v>
      </c>
      <c r="E233" s="16" t="n">
        <v>1212.04</v>
      </c>
      <c r="F233" s="16" t="n">
        <v>38</v>
      </c>
      <c r="G233" s="16" t="n">
        <v>965</v>
      </c>
    </row>
    <row r="234">
      <c r="A234" s="16" t="inlineStr">
        <is>
          <t>Campaign A</t>
        </is>
      </c>
      <c r="B234" s="16" t="inlineStr">
        <is>
          <t>Ad E</t>
        </is>
      </c>
      <c r="C234" s="17" t="n">
        <v>45950</v>
      </c>
      <c r="D234" s="16" t="n">
        <v>219684</v>
      </c>
      <c r="E234" s="16" t="n">
        <v>1846.44</v>
      </c>
      <c r="F234" s="16" t="n">
        <v>88</v>
      </c>
      <c r="G234" s="16" t="n">
        <v>1542</v>
      </c>
    </row>
    <row r="235">
      <c r="A235" s="16" t="inlineStr">
        <is>
          <t>Campaign A</t>
        </is>
      </c>
      <c r="B235" s="16" t="inlineStr">
        <is>
          <t>Ad E</t>
        </is>
      </c>
      <c r="C235" s="17" t="n">
        <v>45951</v>
      </c>
      <c r="D235" s="16" t="n">
        <v>188433</v>
      </c>
      <c r="E235" s="16" t="n">
        <v>1516.86</v>
      </c>
      <c r="F235" s="16" t="n">
        <v>89</v>
      </c>
      <c r="G235" s="16" t="n">
        <v>1358</v>
      </c>
    </row>
    <row r="236">
      <c r="A236" s="16" t="inlineStr">
        <is>
          <t>Campaign A</t>
        </is>
      </c>
      <c r="B236" s="16" t="inlineStr">
        <is>
          <t>Ad E</t>
        </is>
      </c>
      <c r="C236" s="17" t="n">
        <v>45952</v>
      </c>
      <c r="D236" s="16" t="n">
        <v>165475</v>
      </c>
      <c r="E236" s="16" t="n">
        <v>1685.48</v>
      </c>
      <c r="F236" s="16" t="n">
        <v>115</v>
      </c>
      <c r="G236" s="16" t="n">
        <v>1057</v>
      </c>
    </row>
    <row r="237">
      <c r="A237" s="16" t="inlineStr">
        <is>
          <t>Campaign A</t>
        </is>
      </c>
      <c r="B237" s="16" t="inlineStr">
        <is>
          <t>Ad E</t>
        </is>
      </c>
      <c r="C237" s="17" t="n">
        <v>45953</v>
      </c>
      <c r="D237" s="16" t="n">
        <v>165718</v>
      </c>
      <c r="E237" s="16" t="n">
        <v>1755.82</v>
      </c>
      <c r="F237" s="16" t="n">
        <v>118</v>
      </c>
      <c r="G237" s="16" t="n">
        <v>1397</v>
      </c>
    </row>
    <row r="238">
      <c r="A238" s="16" t="inlineStr">
        <is>
          <t>Campaign A</t>
        </is>
      </c>
      <c r="B238" s="16" t="inlineStr">
        <is>
          <t>Ad E</t>
        </is>
      </c>
      <c r="C238" s="17" t="n">
        <v>45954</v>
      </c>
      <c r="D238" s="16" t="n">
        <v>156103</v>
      </c>
      <c r="E238" s="16" t="n">
        <v>1671.19</v>
      </c>
      <c r="F238" s="16" t="n">
        <v>83</v>
      </c>
      <c r="G238" s="16" t="n">
        <v>1431</v>
      </c>
    </row>
    <row r="239">
      <c r="A239" s="16" t="inlineStr">
        <is>
          <t>Campaign A</t>
        </is>
      </c>
      <c r="B239" s="16" t="inlineStr">
        <is>
          <t>Ad E</t>
        </is>
      </c>
      <c r="C239" s="17" t="n">
        <v>45955</v>
      </c>
      <c r="D239" s="16" t="n">
        <v>197237</v>
      </c>
      <c r="E239" s="16" t="n">
        <v>2051.38</v>
      </c>
      <c r="F239" s="16" t="n">
        <v>153</v>
      </c>
      <c r="G239" s="16" t="n">
        <v>1680</v>
      </c>
    </row>
    <row r="240">
      <c r="A240" s="16" t="inlineStr">
        <is>
          <t>Campaign A</t>
        </is>
      </c>
      <c r="B240" s="16" t="inlineStr">
        <is>
          <t>Ad E</t>
        </is>
      </c>
      <c r="C240" s="17" t="n">
        <v>45956</v>
      </c>
      <c r="D240" s="16" t="n">
        <v>314764</v>
      </c>
      <c r="E240" s="16" t="n">
        <v>3145.94</v>
      </c>
      <c r="F240" s="16" t="n">
        <v>202</v>
      </c>
      <c r="G240" s="16" t="n">
        <v>3757</v>
      </c>
    </row>
    <row r="241">
      <c r="A241" s="16" t="inlineStr">
        <is>
          <t>Campaign A</t>
        </is>
      </c>
      <c r="B241" s="16" t="inlineStr">
        <is>
          <t>Ad E</t>
        </is>
      </c>
      <c r="C241" s="17" t="n">
        <v>45957</v>
      </c>
      <c r="D241" s="16" t="n">
        <v>381675</v>
      </c>
      <c r="E241" s="16" t="n">
        <v>3323.27</v>
      </c>
      <c r="F241" s="16" t="n">
        <v>270</v>
      </c>
      <c r="G241" s="16" t="n">
        <v>5218</v>
      </c>
    </row>
    <row r="242">
      <c r="A242" s="16" t="inlineStr">
        <is>
          <t>Campaign A</t>
        </is>
      </c>
      <c r="B242" s="16" t="inlineStr">
        <is>
          <t>Ad E</t>
        </is>
      </c>
      <c r="C242" s="17" t="n">
        <v>45958</v>
      </c>
      <c r="D242" s="16" t="n">
        <v>419910</v>
      </c>
      <c r="E242" s="16" t="n">
        <v>3611.03</v>
      </c>
      <c r="F242" s="16" t="n">
        <v>234</v>
      </c>
      <c r="G242" s="16" t="n">
        <v>4113</v>
      </c>
    </row>
    <row r="243">
      <c r="A243" s="16" t="inlineStr">
        <is>
          <t>Campaign A</t>
        </is>
      </c>
      <c r="B243" s="16" t="inlineStr">
        <is>
          <t>Ad E</t>
        </is>
      </c>
      <c r="C243" s="17" t="n">
        <v>45959</v>
      </c>
      <c r="D243" s="16" t="n">
        <v>358478</v>
      </c>
      <c r="E243" s="16" t="n">
        <v>3447.65</v>
      </c>
      <c r="F243" s="16" t="n">
        <v>158</v>
      </c>
      <c r="G243" s="16" t="n">
        <v>2661</v>
      </c>
    </row>
    <row r="244">
      <c r="A244" s="16" t="inlineStr">
        <is>
          <t>Campaign A</t>
        </is>
      </c>
      <c r="B244" s="16" t="inlineStr">
        <is>
          <t>Ad E</t>
        </is>
      </c>
      <c r="C244" s="17" t="n">
        <v>45960</v>
      </c>
      <c r="D244" s="16" t="n">
        <v>338872</v>
      </c>
      <c r="E244" s="16" t="n">
        <v>3558.77</v>
      </c>
      <c r="F244" s="16" t="n">
        <v>175</v>
      </c>
      <c r="G244" s="16" t="n">
        <v>2535</v>
      </c>
    </row>
    <row r="245">
      <c r="A245" s="16" t="inlineStr">
        <is>
          <t>Campaign A</t>
        </is>
      </c>
      <c r="B245" s="16" t="inlineStr">
        <is>
          <t>Ad E</t>
        </is>
      </c>
      <c r="C245" s="17" t="n">
        <v>45961</v>
      </c>
      <c r="D245" s="16" t="n">
        <v>259920</v>
      </c>
      <c r="E245" s="16" t="n">
        <v>2973.93</v>
      </c>
      <c r="F245" s="16" t="n">
        <v>97</v>
      </c>
      <c r="G245" s="16" t="n">
        <v>1654</v>
      </c>
    </row>
    <row r="246">
      <c r="A246" s="16" t="inlineStr">
        <is>
          <t>Campaign A</t>
        </is>
      </c>
      <c r="B246" s="16" t="inlineStr">
        <is>
          <t>Ad E</t>
        </is>
      </c>
      <c r="C246" s="17" t="n">
        <v>45962</v>
      </c>
      <c r="D246" s="16" t="n">
        <v>238417</v>
      </c>
      <c r="E246" s="16" t="n">
        <v>2816.71</v>
      </c>
      <c r="F246" s="16" t="n">
        <v>100</v>
      </c>
      <c r="G246" s="16" t="n">
        <v>1799</v>
      </c>
    </row>
    <row r="247">
      <c r="A247" s="16" t="inlineStr">
        <is>
          <t>Campaign A</t>
        </is>
      </c>
      <c r="B247" s="16" t="inlineStr">
        <is>
          <t>Ad E</t>
        </is>
      </c>
      <c r="C247" s="17" t="n">
        <v>45963</v>
      </c>
      <c r="D247" s="16" t="n">
        <v>190262</v>
      </c>
      <c r="E247" s="16" t="n">
        <v>2003.66</v>
      </c>
      <c r="F247" s="16" t="n">
        <v>91</v>
      </c>
      <c r="G247" s="16" t="n">
        <v>1495</v>
      </c>
    </row>
    <row r="248">
      <c r="A248" s="16" t="inlineStr">
        <is>
          <t>Campaign A</t>
        </is>
      </c>
      <c r="B248" s="16" t="inlineStr">
        <is>
          <t>Ad E</t>
        </is>
      </c>
      <c r="C248" s="17" t="n">
        <v>45964</v>
      </c>
      <c r="D248" s="16" t="n">
        <v>134495</v>
      </c>
      <c r="E248" s="16" t="n">
        <v>1363.56</v>
      </c>
      <c r="F248" s="16" t="n">
        <v>99</v>
      </c>
      <c r="G248" s="16" t="n">
        <v>1003</v>
      </c>
    </row>
    <row r="249">
      <c r="A249" s="16" t="inlineStr">
        <is>
          <t>Campaign A</t>
        </is>
      </c>
      <c r="B249" s="16" t="inlineStr">
        <is>
          <t>Ad E</t>
        </is>
      </c>
      <c r="C249" s="17" t="n">
        <v>45965</v>
      </c>
      <c r="D249" s="16" t="n">
        <v>175455</v>
      </c>
      <c r="E249" s="16" t="n">
        <v>1674.79</v>
      </c>
      <c r="F249" s="16" t="n">
        <v>100</v>
      </c>
      <c r="G249" s="16" t="n">
        <v>1131</v>
      </c>
    </row>
    <row r="250">
      <c r="A250" s="16" t="inlineStr">
        <is>
          <t>Campaign A</t>
        </is>
      </c>
      <c r="B250" s="16" t="inlineStr">
        <is>
          <t>Ad E</t>
        </is>
      </c>
      <c r="C250" s="17" t="n">
        <v>45966</v>
      </c>
      <c r="D250" s="16" t="n">
        <v>190047</v>
      </c>
      <c r="E250" s="16" t="n">
        <v>1961.76</v>
      </c>
      <c r="F250" s="16" t="n">
        <v>92</v>
      </c>
      <c r="G250" s="16" t="n">
        <v>1458</v>
      </c>
    </row>
    <row r="251">
      <c r="A251" s="16" t="inlineStr">
        <is>
          <t>Campaign A</t>
        </is>
      </c>
      <c r="B251" s="16" t="inlineStr">
        <is>
          <t>Ad E</t>
        </is>
      </c>
      <c r="C251" s="17" t="n">
        <v>45967</v>
      </c>
      <c r="D251" s="16" t="n">
        <v>184986</v>
      </c>
      <c r="E251" s="16" t="n">
        <v>1983.86</v>
      </c>
      <c r="F251" s="16" t="n">
        <v>99</v>
      </c>
      <c r="G251" s="16" t="n">
        <v>1261</v>
      </c>
    </row>
    <row r="252">
      <c r="A252" s="16" t="inlineStr">
        <is>
          <t>Campaign A</t>
        </is>
      </c>
      <c r="B252" s="16" t="inlineStr">
        <is>
          <t>Ad E</t>
        </is>
      </c>
      <c r="C252" s="17" t="n">
        <v>45968</v>
      </c>
      <c r="D252" s="16" t="n">
        <v>147940</v>
      </c>
      <c r="E252" s="16" t="n">
        <v>1597.76</v>
      </c>
      <c r="F252" s="16" t="n">
        <v>55</v>
      </c>
      <c r="G252" s="16" t="n">
        <v>1037</v>
      </c>
    </row>
    <row r="253">
      <c r="A253" s="16" t="inlineStr">
        <is>
          <t>Campaign A</t>
        </is>
      </c>
      <c r="B253" s="16" t="inlineStr">
        <is>
          <t>Ad E</t>
        </is>
      </c>
      <c r="C253" s="17" t="n">
        <v>45969</v>
      </c>
      <c r="D253" s="16" t="n">
        <v>7688</v>
      </c>
      <c r="E253" s="16" t="n">
        <v>76.69</v>
      </c>
      <c r="F253" s="16" t="n">
        <v>7</v>
      </c>
      <c r="G253" s="16" t="n">
        <v>56</v>
      </c>
    </row>
    <row r="254">
      <c r="A254" s="16" t="inlineStr">
        <is>
          <t>Campaign A</t>
        </is>
      </c>
      <c r="B254" s="16" t="inlineStr">
        <is>
          <t>Ad E</t>
        </is>
      </c>
      <c r="C254" s="17" t="n">
        <v>45970</v>
      </c>
      <c r="D254" s="16" t="n">
        <v>122616</v>
      </c>
      <c r="E254" s="16" t="n">
        <v>1201.47</v>
      </c>
      <c r="F254" s="16" t="n">
        <v>84</v>
      </c>
      <c r="G254" s="16" t="n">
        <v>918</v>
      </c>
    </row>
    <row r="255">
      <c r="A255" s="16" t="inlineStr">
        <is>
          <t>Campaign A</t>
        </is>
      </c>
      <c r="B255" s="16" t="inlineStr">
        <is>
          <t>Ad E</t>
        </is>
      </c>
      <c r="C255" s="17" t="n">
        <v>45971</v>
      </c>
      <c r="D255" s="16" t="n">
        <v>2</v>
      </c>
      <c r="E255" s="16" t="n">
        <v>0.03</v>
      </c>
      <c r="F255" s="16" t="n">
        <v>2</v>
      </c>
      <c r="G255" s="16" t="n">
        <v>0</v>
      </c>
    </row>
    <row r="256">
      <c r="A256" s="16" t="inlineStr">
        <is>
          <t>Campaign A</t>
        </is>
      </c>
      <c r="B256" s="16" t="inlineStr">
        <is>
          <t>Ad E</t>
        </is>
      </c>
      <c r="C256" s="17" t="n">
        <v>45972</v>
      </c>
      <c r="D256" s="16" t="n">
        <v>136573</v>
      </c>
      <c r="E256" s="16" t="n">
        <v>1135.41</v>
      </c>
      <c r="F256" s="16" t="n">
        <v>81</v>
      </c>
      <c r="G256" s="16" t="n">
        <v>1267</v>
      </c>
    </row>
    <row r="257">
      <c r="A257" s="16" t="inlineStr">
        <is>
          <t>Campaign A</t>
        </is>
      </c>
      <c r="B257" s="16" t="inlineStr">
        <is>
          <t>Ad E</t>
        </is>
      </c>
      <c r="C257" s="17" t="n">
        <v>45973</v>
      </c>
      <c r="D257" s="16" t="n">
        <v>37004</v>
      </c>
      <c r="E257" s="16" t="n">
        <v>386.53</v>
      </c>
      <c r="F257" s="16" t="n">
        <v>20</v>
      </c>
      <c r="G257" s="16" t="n">
        <v>454</v>
      </c>
    </row>
    <row r="258">
      <c r="A258" s="16" t="inlineStr">
        <is>
          <t>Campaign A</t>
        </is>
      </c>
      <c r="B258" s="16" t="inlineStr">
        <is>
          <t>Ad E</t>
        </is>
      </c>
      <c r="C258" s="17" t="n">
        <v>45974</v>
      </c>
      <c r="D258" s="16" t="n">
        <v>394595</v>
      </c>
      <c r="E258" s="16" t="n">
        <v>4171.83</v>
      </c>
      <c r="F258" s="16" t="n">
        <v>230</v>
      </c>
      <c r="G258" s="16" t="n">
        <v>6435</v>
      </c>
    </row>
    <row r="259">
      <c r="A259" s="16" t="inlineStr">
        <is>
          <t>Campaign A</t>
        </is>
      </c>
      <c r="B259" s="16" t="inlineStr">
        <is>
          <t>Ad E</t>
        </is>
      </c>
      <c r="C259" s="17" t="n">
        <v>45975</v>
      </c>
      <c r="D259" s="16" t="n">
        <v>390282</v>
      </c>
      <c r="E259" s="16" t="n">
        <v>3985.88</v>
      </c>
      <c r="F259" s="16" t="n">
        <v>225</v>
      </c>
      <c r="G259" s="16" t="n">
        <v>5726</v>
      </c>
    </row>
    <row r="260">
      <c r="A260" s="16" t="inlineStr">
        <is>
          <t>Campaign A</t>
        </is>
      </c>
      <c r="B260" s="16" t="inlineStr">
        <is>
          <t>Ad E</t>
        </is>
      </c>
      <c r="C260" s="17" t="n">
        <v>45976</v>
      </c>
      <c r="D260" s="16" t="n">
        <v>283250</v>
      </c>
      <c r="E260" s="16" t="n">
        <v>2701.88</v>
      </c>
      <c r="F260" s="16" t="n">
        <v>140</v>
      </c>
      <c r="G260" s="16" t="n">
        <v>3799</v>
      </c>
    </row>
    <row r="261">
      <c r="A261" s="16" t="inlineStr">
        <is>
          <t>Campaign A</t>
        </is>
      </c>
      <c r="B261" s="16" t="inlineStr">
        <is>
          <t>Ad E</t>
        </is>
      </c>
      <c r="C261" s="17" t="n">
        <v>45977</v>
      </c>
      <c r="D261" s="16" t="n">
        <v>275395</v>
      </c>
      <c r="E261" s="16" t="n">
        <v>2834.26</v>
      </c>
      <c r="F261" s="16" t="n">
        <v>156</v>
      </c>
      <c r="G261" s="16" t="n">
        <v>4085</v>
      </c>
    </row>
    <row r="262">
      <c r="A262" s="16" t="inlineStr">
        <is>
          <t>Campaign A</t>
        </is>
      </c>
      <c r="B262" s="16" t="inlineStr">
        <is>
          <t>Ad E</t>
        </is>
      </c>
      <c r="C262" s="17" t="n">
        <v>45978</v>
      </c>
      <c r="D262" s="16" t="n">
        <v>35643</v>
      </c>
      <c r="E262" s="16" t="n">
        <v>300.59</v>
      </c>
      <c r="F262" s="16" t="n">
        <v>34</v>
      </c>
      <c r="G262" s="16" t="n">
        <v>391</v>
      </c>
    </row>
    <row r="263">
      <c r="A263" s="16" t="inlineStr">
        <is>
          <t>Campaign A</t>
        </is>
      </c>
      <c r="B263" s="16" t="inlineStr">
        <is>
          <t>Ad E</t>
        </is>
      </c>
      <c r="C263" s="17" t="n">
        <v>45979</v>
      </c>
      <c r="D263" s="16" t="n">
        <v>359929</v>
      </c>
      <c r="E263" s="16" t="n">
        <v>3336.55</v>
      </c>
      <c r="F263" s="16" t="n">
        <v>201</v>
      </c>
      <c r="G263" s="16" t="n">
        <v>4059</v>
      </c>
    </row>
    <row r="264">
      <c r="A264" s="16" t="inlineStr">
        <is>
          <t>Campaign A</t>
        </is>
      </c>
      <c r="B264" s="16" t="inlineStr">
        <is>
          <t>Ad E</t>
        </is>
      </c>
      <c r="C264" s="17" t="n">
        <v>45980</v>
      </c>
      <c r="D264" s="16" t="n">
        <v>72725</v>
      </c>
      <c r="E264" s="16" t="n">
        <v>795.61</v>
      </c>
      <c r="F264" s="16" t="n">
        <v>43</v>
      </c>
      <c r="G264" s="16" t="n">
        <v>735</v>
      </c>
    </row>
    <row r="265">
      <c r="A265" s="16" t="inlineStr">
        <is>
          <t>Campaign A</t>
        </is>
      </c>
      <c r="B265" s="16" t="inlineStr">
        <is>
          <t>Ad E</t>
        </is>
      </c>
      <c r="C265" s="17" t="n">
        <v>45981</v>
      </c>
      <c r="D265" s="16" t="n">
        <v>86998</v>
      </c>
      <c r="E265" s="16" t="n">
        <v>999.74</v>
      </c>
      <c r="F265" s="16" t="n">
        <v>87</v>
      </c>
      <c r="G265" s="16" t="n">
        <v>770</v>
      </c>
    </row>
    <row r="266">
      <c r="A266" s="16" t="inlineStr">
        <is>
          <t>Campaign A</t>
        </is>
      </c>
      <c r="B266" s="16" t="inlineStr">
        <is>
          <t>Ad E</t>
        </is>
      </c>
      <c r="C266" s="17" t="n">
        <v>45982</v>
      </c>
      <c r="D266" s="16" t="n">
        <v>81963</v>
      </c>
      <c r="E266" s="16" t="n">
        <v>952.3200000000001</v>
      </c>
      <c r="F266" s="16" t="n">
        <v>48</v>
      </c>
      <c r="G266" s="16" t="n">
        <v>1000</v>
      </c>
    </row>
    <row r="267">
      <c r="A267" s="16" t="inlineStr">
        <is>
          <t>Campaign A</t>
        </is>
      </c>
      <c r="B267" s="16" t="inlineStr">
        <is>
          <t>Ad E</t>
        </is>
      </c>
      <c r="C267" s="17" t="n">
        <v>45983</v>
      </c>
      <c r="D267" s="16" t="n">
        <v>75117</v>
      </c>
      <c r="E267" s="16" t="n">
        <v>868.86</v>
      </c>
      <c r="F267" s="16" t="n">
        <v>43</v>
      </c>
      <c r="G267" s="16" t="n">
        <v>911</v>
      </c>
    </row>
    <row r="268">
      <c r="A268" s="16" t="inlineStr">
        <is>
          <t>Campaign A</t>
        </is>
      </c>
      <c r="B268" s="16" t="inlineStr">
        <is>
          <t>Ad E</t>
        </is>
      </c>
      <c r="C268" s="17" t="n">
        <v>45984</v>
      </c>
      <c r="D268" s="16" t="n">
        <v>99993</v>
      </c>
      <c r="E268" s="16" t="n">
        <v>1203.29</v>
      </c>
      <c r="F268" s="16" t="n">
        <v>74</v>
      </c>
      <c r="G268" s="16" t="n">
        <v>1452</v>
      </c>
    </row>
    <row r="269">
      <c r="A269" s="16" t="inlineStr">
        <is>
          <t>Campaign A</t>
        </is>
      </c>
      <c r="B269" s="16" t="inlineStr">
        <is>
          <t>Ad D</t>
        </is>
      </c>
      <c r="C269" s="17" t="n">
        <v>45964</v>
      </c>
      <c r="D269" s="16" t="n">
        <v>140550</v>
      </c>
      <c r="E269" s="16" t="n">
        <v>1438.8</v>
      </c>
      <c r="F269" s="16" t="n">
        <v>59</v>
      </c>
      <c r="G269" s="16" t="n">
        <v>4176</v>
      </c>
    </row>
    <row r="270">
      <c r="A270" s="16" t="inlineStr">
        <is>
          <t>Campaign A</t>
        </is>
      </c>
      <c r="B270" s="16" t="inlineStr">
        <is>
          <t>Ad D</t>
        </is>
      </c>
      <c r="C270" s="17" t="n">
        <v>45965</v>
      </c>
      <c r="D270" s="16" t="n">
        <v>373218</v>
      </c>
      <c r="E270" s="16" t="n">
        <v>3941.92</v>
      </c>
      <c r="F270" s="16" t="n">
        <v>162</v>
      </c>
      <c r="G270" s="16" t="n">
        <v>8663</v>
      </c>
    </row>
    <row r="271">
      <c r="A271" s="16" t="inlineStr">
        <is>
          <t>Campaign A</t>
        </is>
      </c>
      <c r="B271" s="16" t="inlineStr">
        <is>
          <t>Ad D</t>
        </is>
      </c>
      <c r="C271" s="17" t="n">
        <v>45966</v>
      </c>
      <c r="D271" s="16" t="n">
        <v>501926</v>
      </c>
      <c r="E271" s="16" t="n">
        <v>4450</v>
      </c>
      <c r="F271" s="16" t="n">
        <v>191</v>
      </c>
      <c r="G271" s="16" t="n">
        <v>14776</v>
      </c>
    </row>
    <row r="272">
      <c r="A272" s="16" t="inlineStr">
        <is>
          <t>Campaign A</t>
        </is>
      </c>
      <c r="B272" s="16" t="inlineStr">
        <is>
          <t>Ad D</t>
        </is>
      </c>
      <c r="C272" s="17" t="n">
        <v>45967</v>
      </c>
      <c r="D272" s="16" t="n">
        <v>550483</v>
      </c>
      <c r="E272" s="16" t="n">
        <v>4508</v>
      </c>
      <c r="F272" s="16" t="n">
        <v>159</v>
      </c>
      <c r="G272" s="16" t="n">
        <v>13429</v>
      </c>
    </row>
    <row r="273">
      <c r="A273" s="16" t="inlineStr">
        <is>
          <t>Campaign A</t>
        </is>
      </c>
      <c r="B273" s="16" t="inlineStr">
        <is>
          <t>Ad D</t>
        </is>
      </c>
      <c r="C273" s="17" t="n">
        <v>45968</v>
      </c>
      <c r="D273" s="16" t="n">
        <v>571050</v>
      </c>
      <c r="E273" s="16" t="n">
        <v>4702</v>
      </c>
      <c r="F273" s="16" t="n">
        <v>189</v>
      </c>
      <c r="G273" s="16" t="n">
        <v>14827</v>
      </c>
    </row>
    <row r="274">
      <c r="A274" s="16" t="inlineStr">
        <is>
          <t>Campaign A</t>
        </is>
      </c>
      <c r="B274" s="16" t="inlineStr">
        <is>
          <t>Ad D</t>
        </is>
      </c>
      <c r="C274" s="17" t="n">
        <v>45969</v>
      </c>
      <c r="D274" s="16" t="n">
        <v>569686</v>
      </c>
      <c r="E274" s="16" t="n">
        <v>5854</v>
      </c>
      <c r="F274" s="16" t="n">
        <v>210</v>
      </c>
      <c r="G274" s="16" t="n">
        <v>14652</v>
      </c>
    </row>
    <row r="275">
      <c r="A275" s="16" t="inlineStr">
        <is>
          <t>Campaign A</t>
        </is>
      </c>
      <c r="B275" s="16" t="inlineStr">
        <is>
          <t>Ad D</t>
        </is>
      </c>
      <c r="C275" s="17" t="n">
        <v>45970</v>
      </c>
      <c r="D275" s="16" t="n">
        <v>604620</v>
      </c>
      <c r="E275" s="16" t="n">
        <v>4749</v>
      </c>
      <c r="F275" s="16" t="n">
        <v>161</v>
      </c>
      <c r="G275" s="16" t="n">
        <v>13009</v>
      </c>
    </row>
    <row r="276">
      <c r="A276" s="16" t="inlineStr">
        <is>
          <t>Campaign A</t>
        </is>
      </c>
      <c r="B276" s="16" t="inlineStr">
        <is>
          <t>Ad D</t>
        </is>
      </c>
      <c r="C276" s="17" t="n">
        <v>45971</v>
      </c>
      <c r="D276" s="16" t="n">
        <v>530065</v>
      </c>
      <c r="E276" s="16" t="n">
        <v>4384</v>
      </c>
      <c r="F276" s="16" t="n">
        <v>240</v>
      </c>
      <c r="G276" s="16" t="n">
        <v>13396</v>
      </c>
    </row>
    <row r="277">
      <c r="A277" s="16" t="inlineStr">
        <is>
          <t>Campaign A</t>
        </is>
      </c>
      <c r="B277" s="16" t="inlineStr">
        <is>
          <t>Ad D</t>
        </is>
      </c>
      <c r="C277" s="17" t="n">
        <v>45972</v>
      </c>
      <c r="D277" s="16" t="n">
        <v>568894</v>
      </c>
      <c r="E277" s="16" t="n">
        <v>4635</v>
      </c>
      <c r="F277" s="16" t="n">
        <v>176</v>
      </c>
      <c r="G277" s="16" t="n">
        <v>16810</v>
      </c>
    </row>
    <row r="278">
      <c r="A278" s="16" t="inlineStr">
        <is>
          <t>Campaign A</t>
        </is>
      </c>
      <c r="B278" s="16" t="inlineStr">
        <is>
          <t>Ad D</t>
        </is>
      </c>
      <c r="C278" s="17" t="n">
        <v>45973</v>
      </c>
      <c r="D278" s="16" t="n">
        <v>538829</v>
      </c>
      <c r="E278" s="16" t="n">
        <v>4861</v>
      </c>
      <c r="F278" s="16" t="n">
        <v>198</v>
      </c>
      <c r="G278" s="16" t="n">
        <v>11224</v>
      </c>
    </row>
    <row r="279">
      <c r="A279" s="16" t="inlineStr">
        <is>
          <t>Campaign A</t>
        </is>
      </c>
      <c r="B279" s="16" t="inlineStr">
        <is>
          <t>Ad D</t>
        </is>
      </c>
      <c r="C279" s="17" t="n">
        <v>45974</v>
      </c>
      <c r="D279" s="16" t="n">
        <v>699464</v>
      </c>
      <c r="E279" s="16" t="n">
        <v>4494</v>
      </c>
      <c r="F279" s="16" t="n">
        <v>174</v>
      </c>
      <c r="G279" s="16" t="n">
        <v>17976</v>
      </c>
    </row>
    <row r="280">
      <c r="A280" s="16" t="inlineStr">
        <is>
          <t>Campaign A</t>
        </is>
      </c>
      <c r="B280" s="16" t="inlineStr">
        <is>
          <t>Ad D</t>
        </is>
      </c>
      <c r="C280" s="17" t="n">
        <v>45975</v>
      </c>
      <c r="D280" s="16" t="n">
        <v>632396</v>
      </c>
      <c r="E280" s="16" t="n">
        <v>5633</v>
      </c>
      <c r="F280" s="16" t="n">
        <v>164</v>
      </c>
      <c r="G280" s="16" t="n">
        <v>18122</v>
      </c>
    </row>
    <row r="281">
      <c r="A281" s="16" t="inlineStr">
        <is>
          <t>Campaign A</t>
        </is>
      </c>
      <c r="B281" s="16" t="inlineStr">
        <is>
          <t>Ad D</t>
        </is>
      </c>
      <c r="C281" s="17" t="n">
        <v>45976</v>
      </c>
      <c r="D281" s="16" t="n">
        <v>507592</v>
      </c>
      <c r="E281" s="16" t="n">
        <v>5968</v>
      </c>
      <c r="F281" s="16" t="n">
        <v>224</v>
      </c>
      <c r="G281" s="16" t="n">
        <v>10914</v>
      </c>
    </row>
    <row r="282">
      <c r="A282" s="16" t="inlineStr">
        <is>
          <t>Campaign A</t>
        </is>
      </c>
      <c r="B282" s="16" t="inlineStr">
        <is>
          <t>Ad D</t>
        </is>
      </c>
      <c r="C282" s="17" t="n">
        <v>45977</v>
      </c>
      <c r="D282" s="16" t="n">
        <v>510177</v>
      </c>
      <c r="E282" s="16" t="n">
        <v>4322</v>
      </c>
      <c r="F282" s="16" t="n">
        <v>180</v>
      </c>
      <c r="G282" s="16" t="n">
        <v>10535</v>
      </c>
    </row>
    <row r="283">
      <c r="A283" s="16" t="inlineStr">
        <is>
          <t>Campaign A</t>
        </is>
      </c>
      <c r="B283" s="16" t="inlineStr">
        <is>
          <t>Ad D</t>
        </is>
      </c>
      <c r="C283" s="17" t="n">
        <v>45978</v>
      </c>
      <c r="D283" s="16" t="n">
        <v>665147</v>
      </c>
      <c r="E283" s="16" t="n">
        <v>4452</v>
      </c>
      <c r="F283" s="16" t="n">
        <v>171</v>
      </c>
      <c r="G283" s="16" t="n">
        <v>17387</v>
      </c>
    </row>
    <row r="284">
      <c r="A284" s="16" t="inlineStr">
        <is>
          <t>Campaign A</t>
        </is>
      </c>
      <c r="B284" s="16" t="inlineStr">
        <is>
          <t>Ad D</t>
        </is>
      </c>
      <c r="C284" s="17" t="n">
        <v>45979</v>
      </c>
      <c r="D284" s="16" t="n">
        <v>510504</v>
      </c>
      <c r="E284" s="16" t="n">
        <v>5717</v>
      </c>
      <c r="F284" s="16" t="n">
        <v>185</v>
      </c>
      <c r="G284" s="16" t="n">
        <v>13164</v>
      </c>
    </row>
    <row r="285">
      <c r="A285" s="16" t="inlineStr">
        <is>
          <t>Campaign A</t>
        </is>
      </c>
      <c r="B285" s="16" t="inlineStr">
        <is>
          <t>Ad D</t>
        </is>
      </c>
      <c r="C285" s="17" t="n">
        <v>45980</v>
      </c>
      <c r="D285" s="16" t="n">
        <v>665642</v>
      </c>
      <c r="E285" s="16" t="n">
        <v>6514.23</v>
      </c>
      <c r="F285" s="16" t="n">
        <v>299</v>
      </c>
      <c r="G285" s="16" t="n">
        <v>15504</v>
      </c>
    </row>
    <row r="286">
      <c r="A286" s="16" t="inlineStr">
        <is>
          <t>Campaign A</t>
        </is>
      </c>
      <c r="B286" s="16" t="inlineStr">
        <is>
          <t>Ad D</t>
        </is>
      </c>
      <c r="C286" s="17" t="n">
        <v>45981</v>
      </c>
      <c r="D286" s="16" t="n">
        <v>514576</v>
      </c>
      <c r="E286" s="16" t="n">
        <v>5163</v>
      </c>
      <c r="F286" s="16" t="n">
        <v>158</v>
      </c>
      <c r="G286" s="16" t="n">
        <v>14519</v>
      </c>
    </row>
    <row r="287">
      <c r="A287" s="16" t="inlineStr">
        <is>
          <t>Campaign A</t>
        </is>
      </c>
      <c r="B287" s="16" t="inlineStr">
        <is>
          <t>Ad D</t>
        </is>
      </c>
      <c r="C287" s="17" t="n">
        <v>45982</v>
      </c>
      <c r="D287" s="16" t="n">
        <v>365935</v>
      </c>
      <c r="E287" s="16" t="n">
        <v>5363</v>
      </c>
      <c r="F287" s="16" t="n">
        <v>152</v>
      </c>
      <c r="G287" s="16" t="n">
        <v>9564</v>
      </c>
    </row>
    <row r="288">
      <c r="A288" s="16" t="inlineStr">
        <is>
          <t>Campaign A</t>
        </is>
      </c>
      <c r="B288" s="16" t="inlineStr">
        <is>
          <t>Ad D</t>
        </is>
      </c>
      <c r="C288" s="17" t="n">
        <v>45983</v>
      </c>
      <c r="D288" s="16" t="n">
        <v>239219</v>
      </c>
      <c r="E288" s="16" t="n">
        <v>5620</v>
      </c>
      <c r="F288" s="16" t="n">
        <v>133</v>
      </c>
      <c r="G288" s="16" t="n">
        <v>6710</v>
      </c>
    </row>
    <row r="289">
      <c r="A289" s="16" t="inlineStr">
        <is>
          <t>Campaign A</t>
        </is>
      </c>
      <c r="B289" s="16" t="inlineStr">
        <is>
          <t>Ad D</t>
        </is>
      </c>
      <c r="C289" s="17" t="n">
        <v>45984</v>
      </c>
      <c r="D289" s="16" t="n">
        <v>373218</v>
      </c>
      <c r="E289" s="16" t="n">
        <v>4849</v>
      </c>
      <c r="F289" s="16" t="n">
        <v>159</v>
      </c>
      <c r="G289" s="16" t="n">
        <v>11073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2026-03-30T18:14:51Z</dcterms:created>
  <dcterms:modified xmlns:dcterms="http://purl.org/dc/terms/" xmlns:xsi="http://www.w3.org/2001/XMLSchema-instance" xsi:type="dcterms:W3CDTF">2026-03-30T21:06:22Z</dcterms:modified>
</cp:coreProperties>
</file>